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TodoList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isks" sheetId="4" state="visible" r:id="rId4"/>
    <sheet xmlns:r="http://schemas.openxmlformats.org/officeDocument/2006/relationships" name="API_Checklist" sheetId="5" state="visible" r:id="rId5"/>
    <sheet xmlns:r="http://schemas.openxmlformats.org/officeDocument/2006/relationships" name="Feishu_Fields" sheetId="6" state="visible" r:id="rId6"/>
    <sheet xmlns:r="http://schemas.openxmlformats.org/officeDocument/2006/relationships" name="Config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Carlito"/>
      <b val="1"/>
      <color rgb="00FFFFFF"/>
      <sz val="11"/>
    </font>
    <font>
      <name val="Carlito"/>
      <color rgb="000F172A"/>
      <sz val="11"/>
    </font>
    <font>
      <name val="Carlito"/>
      <b val="1"/>
      <color rgb="00FFFFFF"/>
      <sz val="16"/>
    </font>
    <font>
      <name val="Carlito"/>
      <b val="1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8FAFC"/>
      </patternFill>
    </fill>
    <fill>
      <patternFill patternType="solid">
        <fgColor rgb="000F172A"/>
      </patternFill>
    </fill>
  </fills>
  <borders count="2">
    <border/>
    <border/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top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9" fontId="2" fillId="3" borderId="0" applyAlignment="1" pivotButton="0" quotePrefix="0" xfId="0">
      <alignment vertical="top" wrapText="1"/>
    </xf>
    <xf numFmtId="9" fontId="2" fillId="3" borderId="1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9" fontId="2" fillId="3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</cellXfs>
  <cellStyles count="1">
    <cellStyle name="Normal" xfId="0"/>
  </cellStyles>
  <dxfs count="6">
    <dxf>
      <fill>
        <patternFill patternType="solid">
          <bgColor rgb="00DCFCE7"/>
        </patternFill>
      </fill>
    </dxf>
    <dxf>
      <fill>
        <patternFill patternType="solid">
          <bgColor rgb="00DBEAFE"/>
        </patternFill>
      </fill>
    </dxf>
    <dxf>
      <fill>
        <patternFill patternType="solid">
          <bgColor rgb="00FEE2E2"/>
        </patternFill>
      </fill>
    </dxf>
    <dxf>
      <fill>
        <patternFill patternType="solid">
          <bgColor rgb="00FEE2E2"/>
        </patternFill>
      </fill>
    </dxf>
    <dxf>
      <fill>
        <patternFill patternType="solid">
          <bgColor rgb="00FEF3C7"/>
        </patternFill>
      </fill>
    </dxf>
    <dxf>
      <fill>
        <patternFill patternType="solid">
          <bgColor rgb="00E0F2F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按优先级任务数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任务数</v>
          </tx>
          <spPr>
            <a:ln xmlns:a="http://schemas.openxmlformats.org/drawingml/2006/main">
              <a:prstDash val="solid"/>
            </a:ln>
          </spPr>
          <cat>
            <strRef>
              <f>'Dashboard'!$E$4:$E$6</f>
              <strCache>
                <ptCount val="0"/>
              </strCache>
            </strRef>
          </cat>
          <val>
            <numRef>
              <f>'Dashboard'!$F$4:$F$6</f>
              <numCach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按状态任务数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任务数</v>
          </tx>
          <spPr>
            <a:ln xmlns:a="http://schemas.openxmlformats.org/drawingml/2006/main">
              <a:prstDash val="solid"/>
            </a:ln>
          </spPr>
          <cat>
            <strRef>
              <f>'Dashboard'!$E$9:$E$13</f>
              <strCache>
                <ptCount val="0"/>
              </strCache>
            </strRef>
          </cat>
          <val>
            <numRef>
              <f>'Dashboard'!$F$9:$F$13</f>
              <numCach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7</col>
      <colOff>0</colOff>
      <row>2</row>
      <rowOff>0</rowOff>
    </from>
    <to>
      <col>14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0</colOff>
      <row>19</row>
      <rowOff>0</rowOff>
    </from>
    <to>
      <col>14</col>
      <colOff>0</colOff>
      <row>35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odoListTable" displayName="TodoListTable" ref="A1:N91" headerRowCount="1">
  <tableColumns count="14">
    <tableColumn id="1" name="ID"/>
    <tableColumn id="2" name="优先级"/>
    <tableColumn id="3" name="阶段"/>
    <tableColumn id="4" name="模块"/>
    <tableColumn id="5" name="任务"/>
    <tableColumn id="6" name="详细说明"/>
    <tableColumn id="7" name="负责人角色"/>
    <tableColumn id="8" name="预计开始"/>
    <tableColumn id="9" name="预计截止"/>
    <tableColumn id="10" name="状态"/>
    <tableColumn id="11" name="依赖"/>
    <tableColumn id="12" name="验收标准"/>
    <tableColumn id="13" name="交付物"/>
    <tableColumn id="14" name="备注"/>
  </tableColumns>
  <tableStyleInfo name="TableStyleMedium2" showRowStripes="1"/>
</table>
</file>

<file path=xl/tables/table2.xml><?xml version="1.0" encoding="utf-8"?>
<table xmlns="http://schemas.openxmlformats.org/spreadsheetml/2006/main" id="2" name="MilestonesTable" displayName="MilestonesTable" ref="A1:E8" headerRowCount="1">
  <tableColumns count="5">
    <tableColumn id="1" name="里程碑"/>
    <tableColumn id="2" name="目标日期"/>
    <tableColumn id="3" name="完成条件"/>
    <tableColumn id="4" name="相关任务"/>
    <tableColumn id="5" name="状态"/>
  </tableColumns>
  <tableStyleInfo name="TableStyleMedium2" showRowStripes="1"/>
</table>
</file>

<file path=xl/tables/table3.xml><?xml version="1.0" encoding="utf-8"?>
<table xmlns="http://schemas.openxmlformats.org/spreadsheetml/2006/main" id="3" name="RisksTable" displayName="RisksTable" ref="A1:H9" headerRowCount="1">
  <tableColumns count="8">
    <tableColumn id="1" name="ID"/>
    <tableColumn id="2" name="风险"/>
    <tableColumn id="3" name="影响"/>
    <tableColumn id="4" name="概率"/>
    <tableColumn id="5" name="等级"/>
    <tableColumn id="6" name="应对策略"/>
    <tableColumn id="7" name="Owner"/>
    <tableColumn id="8" name="状态"/>
  </tableColumns>
  <tableStyleInfo name="TableStyleMedium2" showRowStripes="1"/>
</table>
</file>

<file path=xl/tables/table4.xml><?xml version="1.0" encoding="utf-8"?>
<table xmlns="http://schemas.openxmlformats.org/spreadsheetml/2006/main" id="4" name="APIChecklistTable" displayName="APIChecklistTable" ref="A1:F13" headerRowCount="1">
  <tableColumns count="6">
    <tableColumn id="1" name="模块"/>
    <tableColumn id="2" name="接口/事件"/>
    <tableColumn id="3" name="方法"/>
    <tableColumn id="4" name="说明"/>
    <tableColumn id="5" name="优先级"/>
    <tableColumn id="6" name="状态"/>
  </tableColumns>
  <tableStyleInfo name="TableStyleMedium2" showRowStripes="1"/>
</table>
</file>

<file path=xl/tables/table5.xml><?xml version="1.0" encoding="utf-8"?>
<table xmlns="http://schemas.openxmlformats.org/spreadsheetml/2006/main" id="5" name="FeishuFieldsTable" displayName="FeishuFieldsTable" ref="A1:F23" headerRowCount="1">
  <tableColumns count="6">
    <tableColumn id="1" name="字段"/>
    <tableColumn id="2" name="类型"/>
    <tableColumn id="3" name="填写方"/>
    <tableColumn id="4" name="是否必填"/>
    <tableColumn id="5" name="用途"/>
    <tableColumn id="6" name="状态/备注"/>
  </tableColumns>
  <tableStyleInfo name="TableStyleMedium2" showRowStripes="1"/>
</table>
</file>

<file path=xl/tables/table6.xml><?xml version="1.0" encoding="utf-8"?>
<table xmlns="http://schemas.openxmlformats.org/spreadsheetml/2006/main" id="6" name="ConfigTable" displayName="ConfigTable" ref="A1:C16" headerRowCount="1">
  <tableColumns count="3">
    <tableColumn id="1" name="配置项"/>
    <tableColumn id="2" name="默认值"/>
    <tableColumn id="3" name="说明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18" customWidth="1" min="5" max="5"/>
    <col width="14" customWidth="1" min="6" max="6"/>
    <col width="14" customWidth="1" min="7" max="7"/>
  </cols>
  <sheetData>
    <row r="1" ht="30" customHeight="1">
      <c r="A1" s="29" t="inlineStr">
        <is>
          <t>飞书 AI 分镜 → 视频生成工作流 TodoList Dashboard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6" t="inlineStr">
        <is>
          <t>指标</t>
        </is>
      </c>
      <c r="B3" s="6" t="inlineStr">
        <is>
          <t>公式/数值</t>
        </is>
      </c>
      <c r="C3" s="6" t="inlineStr">
        <is>
          <t>说明</t>
        </is>
      </c>
      <c r="E3" s="6" t="inlineStr">
        <is>
          <t>优先级</t>
        </is>
      </c>
      <c r="F3" s="6" t="inlineStr">
        <is>
          <t>任务数</t>
        </is>
      </c>
    </row>
    <row r="4">
      <c r="A4" s="15" t="inlineStr">
        <is>
          <t>总任务数</t>
        </is>
      </c>
      <c r="B4" s="15">
        <f>COUNTA(TodoList!$A$2:$A$91)</f>
        <v/>
      </c>
      <c r="C4" s="15" t="inlineStr">
        <is>
          <t>全部任务数量</t>
        </is>
      </c>
      <c r="E4" s="15" t="inlineStr">
        <is>
          <t>P0</t>
        </is>
      </c>
      <c r="F4" s="15">
        <f>COUNTIF(TodoList!$B:$B,"P0")</f>
        <v/>
      </c>
    </row>
    <row r="5">
      <c r="A5" s="15" t="inlineStr">
        <is>
          <t>P0 任务数</t>
        </is>
      </c>
      <c r="B5" s="15">
        <f>COUNTIF(TodoList!$B:$B,"P0")</f>
        <v/>
      </c>
      <c r="C5" s="15" t="inlineStr">
        <is>
          <t>MVP 基础任务</t>
        </is>
      </c>
      <c r="E5" s="15" t="inlineStr">
        <is>
          <t>P1</t>
        </is>
      </c>
      <c r="F5" s="15">
        <f>COUNTIF(TodoList!$B:$B,"P1")</f>
        <v/>
      </c>
    </row>
    <row r="6">
      <c r="A6" s="15" t="inlineStr">
        <is>
          <t>P1 任务数</t>
        </is>
      </c>
      <c r="B6" s="15">
        <f>COUNTIF(TodoList!$B:$B,"P1")</f>
        <v/>
      </c>
      <c r="C6" s="15" t="inlineStr">
        <is>
          <t>核心闭环任务</t>
        </is>
      </c>
      <c r="E6" s="15" t="inlineStr">
        <is>
          <t>P2</t>
        </is>
      </c>
      <c r="F6" s="15">
        <f>COUNTIF(TodoList!$B:$B,"P2")</f>
        <v/>
      </c>
    </row>
    <row r="7">
      <c r="A7" s="15" t="inlineStr">
        <is>
          <t>P2 任务数</t>
        </is>
      </c>
      <c r="B7" s="15">
        <f>COUNTIF(TodoList!$B:$B,"P2")</f>
        <v/>
      </c>
      <c r="C7" s="15" t="inlineStr">
        <is>
          <t>增强和运维任务</t>
        </is>
      </c>
      <c r="E7" s="15" t="n"/>
      <c r="F7" s="15" t="n"/>
    </row>
    <row r="8">
      <c r="A8" s="15" t="inlineStr">
        <is>
          <t>已完成</t>
        </is>
      </c>
      <c r="B8" s="15">
        <f>COUNTIF(TodoList!$J:$J,"已完成")</f>
        <v/>
      </c>
      <c r="C8" s="15" t="inlineStr">
        <is>
          <t>完成任务</t>
        </is>
      </c>
      <c r="E8" s="34" t="inlineStr">
        <is>
          <t>状态</t>
        </is>
      </c>
      <c r="F8" s="34" t="inlineStr">
        <is>
          <t>任务数</t>
        </is>
      </c>
    </row>
    <row r="9">
      <c r="A9" s="15" t="inlineStr">
        <is>
          <t>进行中</t>
        </is>
      </c>
      <c r="B9" s="15">
        <f>COUNTIF(TodoList!$J:$J,"进行中")</f>
        <v/>
      </c>
      <c r="C9" s="15" t="inlineStr">
        <is>
          <t>正在执行</t>
        </is>
      </c>
      <c r="E9" s="15" t="inlineStr">
        <is>
          <t>未开始</t>
        </is>
      </c>
      <c r="F9" s="15">
        <f>COUNTIF(TodoList!$J:$J,"未开始")</f>
        <v/>
      </c>
    </row>
    <row r="10">
      <c r="A10" s="15" t="inlineStr">
        <is>
          <t>阻塞</t>
        </is>
      </c>
      <c r="B10" s="15">
        <f>COUNTIF(TodoList!$J:$J,"阻塞")</f>
        <v/>
      </c>
      <c r="C10" s="15" t="inlineStr">
        <is>
          <t>需要处理</t>
        </is>
      </c>
      <c r="E10" s="15" t="inlineStr">
        <is>
          <t>进行中</t>
        </is>
      </c>
      <c r="F10" s="15">
        <f>COUNTIF(TodoList!$J:$J,"进行中")</f>
        <v/>
      </c>
    </row>
    <row r="11">
      <c r="A11" s="15" t="inlineStr">
        <is>
          <t>完成率</t>
        </is>
      </c>
      <c r="B11" s="38">
        <f>IF(B4=0,0,B8/B4)</f>
        <v/>
      </c>
      <c r="C11" s="15" t="inlineStr">
        <is>
          <t>已完成/总任务</t>
        </is>
      </c>
      <c r="E11" s="15" t="inlineStr">
        <is>
          <t>阻塞</t>
        </is>
      </c>
      <c r="F11" s="15">
        <f>COUNTIF(TodoList!$J:$J,"阻塞")</f>
        <v/>
      </c>
    </row>
    <row r="12">
      <c r="E12" s="15" t="inlineStr">
        <is>
          <t>已完成</t>
        </is>
      </c>
      <c r="F12" s="15">
        <f>COUNTIF(TodoList!$J:$J,"已完成")</f>
        <v/>
      </c>
    </row>
    <row r="13">
      <c r="E13" s="15" t="inlineStr">
        <is>
          <t>取消</t>
        </is>
      </c>
      <c r="F13" s="15">
        <f>COUNTIF(TodoList!$J:$J,"取消")</f>
        <v/>
      </c>
    </row>
    <row r="14">
      <c r="A14" s="6" t="inlineStr">
        <is>
          <t>使用说明</t>
        </is>
      </c>
      <c r="B14" s="6" t="str"/>
      <c r="C14" s="6" t="str"/>
    </row>
    <row r="15">
      <c r="A15" s="15" t="inlineStr">
        <is>
          <t>1</t>
        </is>
      </c>
      <c r="B15" s="15" t="inlineStr">
        <is>
          <t>在 TodoList 表中更新状态、负责人和截止日期。</t>
        </is>
      </c>
      <c r="C15" s="15" t="str"/>
    </row>
    <row r="16">
      <c r="A16" s="15" t="inlineStr">
        <is>
          <t>2</t>
        </is>
      </c>
      <c r="B16" s="15" t="inlineStr">
        <is>
          <t>Dashboard 会按优先级和状态自动统计。</t>
        </is>
      </c>
      <c r="C16" s="15" t="str"/>
    </row>
    <row r="17">
      <c r="A17" s="15" t="inlineStr">
        <is>
          <t>3</t>
        </is>
      </c>
      <c r="B17" s="15" t="inlineStr">
        <is>
          <t>P0/P1 为 MVP 必做；P2 为增强和运维。</t>
        </is>
      </c>
      <c r="C17" s="15" t="str"/>
    </row>
    <row r="18">
      <c r="A18" s="15" t="inlineStr">
        <is>
          <t>4</t>
        </is>
      </c>
      <c r="B18" s="15" t="inlineStr">
        <is>
          <t>若表格公式未即时计算，打开 Excel/WPS 后重新计算即可。</t>
        </is>
      </c>
      <c r="C18" s="15" t="str"/>
    </row>
  </sheetData>
  <mergeCells count="1"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4" customWidth="1" min="4" max="4"/>
    <col width="22" customWidth="1" min="5" max="5"/>
    <col width="38" customWidth="1" min="6" max="6"/>
    <col width="14" customWidth="1" min="7" max="7"/>
    <col width="12" customWidth="1" min="8" max="8"/>
    <col width="12" customWidth="1" min="9" max="9"/>
    <col width="12" customWidth="1" min="10" max="10"/>
    <col width="22" customWidth="1" min="11" max="11"/>
    <col width="32" customWidth="1" min="12" max="12"/>
    <col width="22" customWidth="1" min="13" max="13"/>
    <col width="18" customWidth="1" min="14" max="14"/>
  </cols>
  <sheetData>
    <row r="1">
      <c r="A1" s="6" t="inlineStr">
        <is>
          <t>ID</t>
        </is>
      </c>
      <c r="B1" s="6" t="inlineStr">
        <is>
          <t>优先级</t>
        </is>
      </c>
      <c r="C1" s="6" t="inlineStr">
        <is>
          <t>阶段</t>
        </is>
      </c>
      <c r="D1" s="6" t="inlineStr">
        <is>
          <t>模块</t>
        </is>
      </c>
      <c r="E1" s="6" t="inlineStr">
        <is>
          <t>任务</t>
        </is>
      </c>
      <c r="F1" s="6" t="inlineStr">
        <is>
          <t>详细说明</t>
        </is>
      </c>
      <c r="G1" s="6" t="inlineStr">
        <is>
          <t>负责人角色</t>
        </is>
      </c>
      <c r="H1" s="6" t="inlineStr">
        <is>
          <t>预计开始</t>
        </is>
      </c>
      <c r="I1" s="6" t="inlineStr">
        <is>
          <t>预计截止</t>
        </is>
      </c>
      <c r="J1" s="6" t="inlineStr">
        <is>
          <t>状态</t>
        </is>
      </c>
      <c r="K1" s="6" t="inlineStr">
        <is>
          <t>依赖</t>
        </is>
      </c>
      <c r="L1" s="6" t="inlineStr">
        <is>
          <t>验收标准</t>
        </is>
      </c>
      <c r="M1" s="6" t="inlineStr">
        <is>
          <t>交付物</t>
        </is>
      </c>
      <c r="N1" s="6" t="inlineStr">
        <is>
          <t>备注</t>
        </is>
      </c>
    </row>
    <row r="2">
      <c r="A2" s="15" t="inlineStr">
        <is>
          <t>P0-001</t>
        </is>
      </c>
      <c r="B2" s="15" t="inlineStr">
        <is>
          <t>P0</t>
        </is>
      </c>
      <c r="C2" s="15" t="inlineStr">
        <is>
          <t>基础搭建</t>
        </is>
      </c>
      <c r="D2" s="15" t="inlineStr">
        <is>
          <t>后端基础</t>
        </is>
      </c>
      <c r="E2" s="15" t="inlineStr">
        <is>
          <t>初始化 FastAPI 项目</t>
        </is>
      </c>
      <c r="F2" s="15" t="inlineStr">
        <is>
          <t>建立 app/api、services、adapters、workers、models、infra 目录。</t>
        </is>
      </c>
      <c r="G2" s="15" t="inlineStr">
        <is>
          <t>后端</t>
        </is>
      </c>
      <c r="H2" s="39" t="n">
        <v>46149</v>
      </c>
      <c r="I2" s="39" t="n">
        <v>46150</v>
      </c>
      <c r="J2" s="15" t="inlineStr">
        <is>
          <t>已完成</t>
        </is>
      </c>
      <c r="K2" s="15" t="str"/>
      <c r="L2" s="15" t="inlineStr">
        <is>
          <t>服务可启动</t>
        </is>
      </c>
      <c r="M2" s="15" t="inlineStr">
        <is>
          <t>代码骨架</t>
        </is>
      </c>
      <c r="N2" s="15" t="inlineStr">
        <is>
          <t>Codex 已实现仓库内实现与本地自动化验证；生产外部调用需配置对应平台权限/密钥。更新日期 2026-05-06</t>
        </is>
      </c>
    </row>
    <row r="3">
      <c r="A3" s="15" t="inlineStr">
        <is>
          <t>P0-002</t>
        </is>
      </c>
      <c r="B3" s="15" t="inlineStr">
        <is>
          <t>P0</t>
        </is>
      </c>
      <c r="C3" s="15" t="inlineStr">
        <is>
          <t>基础搭建</t>
        </is>
      </c>
      <c r="D3" s="15" t="inlineStr">
        <is>
          <t>后端基础</t>
        </is>
      </c>
      <c r="E3" s="15" t="inlineStr">
        <is>
          <t>配置 Docker Compose</t>
        </is>
      </c>
      <c r="F3" s="15" t="inlineStr">
        <is>
          <t>包含 api、postgres、redis、worker、minio 可选服务。</t>
        </is>
      </c>
      <c r="G3" s="15" t="inlineStr">
        <is>
          <t>DevOps</t>
        </is>
      </c>
      <c r="H3" s="39" t="n">
        <v>46149</v>
      </c>
      <c r="I3" s="39" t="n">
        <v>46151</v>
      </c>
      <c r="J3" s="15" t="inlineStr">
        <is>
          <t>已完成</t>
        </is>
      </c>
      <c r="K3" s="15" t="inlineStr">
        <is>
          <t>P0-001</t>
        </is>
      </c>
      <c r="L3" s="15" t="inlineStr">
        <is>
          <t>本地一条命令启动</t>
        </is>
      </c>
      <c r="M3" s="15" t="inlineStr">
        <is>
          <t>docker-compose.yml</t>
        </is>
      </c>
      <c r="N3" s="15" t="inlineStr">
        <is>
          <t>Codex 已实现仓库内实现与本地自动化验证；生产外部调用需配置对应平台权限/密钥。更新日期 2026-05-06</t>
        </is>
      </c>
    </row>
    <row r="4">
      <c r="A4" s="15" t="inlineStr">
        <is>
          <t>P0-003</t>
        </is>
      </c>
      <c r="B4" s="15" t="inlineStr">
        <is>
          <t>P0</t>
        </is>
      </c>
      <c r="C4" s="15" t="inlineStr">
        <is>
          <t>基础搭建</t>
        </is>
      </c>
      <c r="D4" s="15" t="inlineStr">
        <is>
          <t>数据库</t>
        </is>
      </c>
      <c r="E4" s="15" t="inlineStr">
        <is>
          <t>接入 PostgreSQL 与 Alembic</t>
        </is>
      </c>
      <c r="F4" s="15" t="inlineStr">
        <is>
          <t>创建数据库连接、migration、基础配置。</t>
        </is>
      </c>
      <c r="G4" s="15" t="inlineStr">
        <is>
          <t>后端</t>
        </is>
      </c>
      <c r="H4" s="39" t="n">
        <v>46150</v>
      </c>
      <c r="I4" s="39" t="n">
        <v>46152</v>
      </c>
      <c r="J4" s="15" t="inlineStr">
        <is>
          <t>已完成</t>
        </is>
      </c>
      <c r="K4" s="15" t="inlineStr">
        <is>
          <t>P0-001</t>
        </is>
      </c>
      <c r="L4" s="15" t="inlineStr">
        <is>
          <t>migration 可执行</t>
        </is>
      </c>
      <c r="M4" s="15" t="inlineStr">
        <is>
          <t>数据库 migration</t>
        </is>
      </c>
      <c r="N4" s="15" t="inlineStr">
        <is>
          <t>Codex 已实现仓库内实现与本地自动化验证；生产外部调用需配置对应平台权限/密钥。更新日期 2026-05-06</t>
        </is>
      </c>
    </row>
    <row r="5">
      <c r="A5" s="15" t="inlineStr">
        <is>
          <t>P0-004</t>
        </is>
      </c>
      <c r="B5" s="15" t="inlineStr">
        <is>
          <t>P0</t>
        </is>
      </c>
      <c r="C5" s="15" t="inlineStr">
        <is>
          <t>基础搭建</t>
        </is>
      </c>
      <c r="D5" s="15" t="inlineStr">
        <is>
          <t>队列</t>
        </is>
      </c>
      <c r="E5" s="15" t="inlineStr">
        <is>
          <t>接入 Redis + Celery</t>
        </is>
      </c>
      <c r="F5" s="15" t="inlineStr">
        <is>
          <t>配置队列、任务路由、worker 启动脚本。</t>
        </is>
      </c>
      <c r="G5" s="15" t="inlineStr">
        <is>
          <t>后端</t>
        </is>
      </c>
      <c r="H5" s="39" t="n">
        <v>46150</v>
      </c>
      <c r="I5" s="39" t="n">
        <v>46152</v>
      </c>
      <c r="J5" s="15" t="inlineStr">
        <is>
          <t>已完成</t>
        </is>
      </c>
      <c r="K5" s="15" t="inlineStr">
        <is>
          <t>P0-002</t>
        </is>
      </c>
      <c r="L5" s="15" t="inlineStr">
        <is>
          <t>任务可入队和消费</t>
        </is>
      </c>
      <c r="M5" s="15" t="inlineStr">
        <is>
          <t>Celery 配置</t>
        </is>
      </c>
      <c r="N5" s="15" t="inlineStr">
        <is>
          <t>Codex 已实现仓库内实现与本地自动化验证；生产外部调用需配置对应平台权限/密钥。更新日期 2026-05-06</t>
        </is>
      </c>
    </row>
    <row r="6">
      <c r="A6" s="15" t="inlineStr">
        <is>
          <t>P0-005</t>
        </is>
      </c>
      <c r="B6" s="15" t="inlineStr">
        <is>
          <t>P0</t>
        </is>
      </c>
      <c r="C6" s="15" t="inlineStr">
        <is>
          <t>基础搭建</t>
        </is>
      </c>
      <c r="D6" s="15" t="inlineStr">
        <is>
          <t>配置</t>
        </is>
      </c>
      <c r="E6" s="15" t="inlineStr">
        <is>
          <t>实现 Settings / Secret 管理</t>
        </is>
      </c>
      <c r="F6" s="15" t="inlineStr">
        <is>
          <t>读取 OpenAI、Google、Seedance、Feishu、Storage Key。</t>
        </is>
      </c>
      <c r="G6" s="15" t="inlineStr">
        <is>
          <t>后端</t>
        </is>
      </c>
      <c r="H6" s="39" t="n">
        <v>46150</v>
      </c>
      <c r="I6" s="39" t="n">
        <v>46151</v>
      </c>
      <c r="J6" s="15" t="inlineStr">
        <is>
          <t>已完成</t>
        </is>
      </c>
      <c r="K6" s="15" t="str"/>
      <c r="L6" s="15" t="inlineStr">
        <is>
          <t>本地和生产配置隔离</t>
        </is>
      </c>
      <c r="M6" s="15" t="inlineStr">
        <is>
          <t>.env.example</t>
        </is>
      </c>
      <c r="N6" s="15" t="inlineStr">
        <is>
          <t>Codex 已实现仓库内实现与本地自动化验证；生产外部调用需配置对应平台权限/密钥。更新日期 2026-05-06</t>
        </is>
      </c>
    </row>
    <row r="7">
      <c r="A7" s="15" t="inlineStr">
        <is>
          <t>P0-006</t>
        </is>
      </c>
      <c r="B7" s="15" t="inlineStr">
        <is>
          <t>P0</t>
        </is>
      </c>
      <c r="C7" s="15" t="inlineStr">
        <is>
          <t>基础搭建</t>
        </is>
      </c>
      <c r="D7" s="15" t="inlineStr">
        <is>
          <t>日志</t>
        </is>
      </c>
      <c r="E7" s="15" t="inlineStr">
        <is>
          <t>统一 JSON 日志</t>
        </is>
      </c>
      <c r="F7" s="15" t="inlineStr">
        <is>
          <t>request_id、project_id、shot_id、job_id 必须可串联。</t>
        </is>
      </c>
      <c r="G7" s="15" t="inlineStr">
        <is>
          <t>后端</t>
        </is>
      </c>
      <c r="H7" s="39" t="n">
        <v>46151</v>
      </c>
      <c r="I7" s="39" t="n">
        <v>46152</v>
      </c>
      <c r="J7" s="15" t="inlineStr">
        <is>
          <t>已完成</t>
        </is>
      </c>
      <c r="K7" s="15" t="str"/>
      <c r="L7" s="15" t="inlineStr">
        <is>
          <t>日志字段完整</t>
        </is>
      </c>
      <c r="M7" s="15" t="inlineStr">
        <is>
          <t>logging 模块</t>
        </is>
      </c>
      <c r="N7" s="15" t="inlineStr">
        <is>
          <t>Codex 已实现仓库内实现与本地自动化验证；生产外部调用需配置对应平台权限/密钥。更新日期 2026-05-06</t>
        </is>
      </c>
    </row>
    <row r="8">
      <c r="A8" s="15" t="inlineStr">
        <is>
          <t>P0-007</t>
        </is>
      </c>
      <c r="B8" s="15" t="inlineStr">
        <is>
          <t>P0</t>
        </is>
      </c>
      <c r="C8" s="15" t="inlineStr">
        <is>
          <t>基础搭建</t>
        </is>
      </c>
      <c r="D8" s="15" t="inlineStr">
        <is>
          <t>健康检查</t>
        </is>
      </c>
      <c r="E8" s="15" t="inlineStr">
        <is>
          <t>实现 /healthz /readyz</t>
        </is>
      </c>
      <c r="F8" s="15" t="inlineStr">
        <is>
          <t>检查 API、DB、Redis 状态。</t>
        </is>
      </c>
      <c r="G8" s="15" t="inlineStr">
        <is>
          <t>后端</t>
        </is>
      </c>
      <c r="H8" s="39" t="n">
        <v>46151</v>
      </c>
      <c r="I8" s="39" t="n">
        <v>46152</v>
      </c>
      <c r="J8" s="15" t="inlineStr">
        <is>
          <t>已完成</t>
        </is>
      </c>
      <c r="K8" s="15" t="str"/>
      <c r="L8" s="15" t="inlineStr">
        <is>
          <t>接口返回正常</t>
        </is>
      </c>
      <c r="M8" s="15" t="inlineStr">
        <is>
          <t>健康检查接口</t>
        </is>
      </c>
      <c r="N8" s="15" t="inlineStr">
        <is>
          <t>Codex 已实现仓库内实现与本地自动化验证；生产外部调用需配置对应平台权限/密钥。更新日期 2026-05-06</t>
        </is>
      </c>
    </row>
    <row r="9">
      <c r="A9" s="15" t="inlineStr">
        <is>
          <t>P0-008</t>
        </is>
      </c>
      <c r="B9" s="15" t="inlineStr">
        <is>
          <t>P0</t>
        </is>
      </c>
      <c r="C9" s="15" t="inlineStr">
        <is>
          <t>基础搭建</t>
        </is>
      </c>
      <c r="D9" s="15" t="inlineStr">
        <is>
          <t>测试</t>
        </is>
      </c>
      <c r="E9" s="15" t="inlineStr">
        <is>
          <t>配置 pytest 与 mock 框架</t>
        </is>
      </c>
      <c r="F9" s="15" t="inlineStr">
        <is>
          <t>Provider API 用 mock，不打真实模型。</t>
        </is>
      </c>
      <c r="G9" s="15" t="inlineStr">
        <is>
          <t>QA/后端</t>
        </is>
      </c>
      <c r="H9" s="39" t="n">
        <v>46151</v>
      </c>
      <c r="I9" s="39" t="n">
        <v>46153</v>
      </c>
      <c r="J9" s="15" t="inlineStr">
        <is>
          <t>已完成</t>
        </is>
      </c>
      <c r="K9" s="15" t="str"/>
      <c r="L9" s="15" t="inlineStr">
        <is>
          <t>测试可跑通</t>
        </is>
      </c>
      <c r="M9" s="15" t="inlineStr">
        <is>
          <t>测试框架</t>
        </is>
      </c>
      <c r="N9" s="15" t="inlineStr">
        <is>
          <t>Codex 已实现仓库内实现与本地自动化验证；生产外部调用需配置对应平台权限/密钥。更新日期 2026-05-06</t>
        </is>
      </c>
    </row>
    <row r="10">
      <c r="A10" s="15" t="inlineStr">
        <is>
          <t>P0-009</t>
        </is>
      </c>
      <c r="B10" s="15" t="inlineStr">
        <is>
          <t>P0</t>
        </is>
      </c>
      <c r="C10" s="15" t="inlineStr">
        <is>
          <t>飞书集成</t>
        </is>
      </c>
      <c r="D10" s="15" t="inlineStr">
        <is>
          <t>飞书应用</t>
        </is>
      </c>
      <c r="E10" s="15" t="inlineStr">
        <is>
          <t>创建飞书自建应用</t>
        </is>
      </c>
      <c r="F10" s="15" t="inlineStr">
        <is>
          <t>开启机器人、消息、卡片交互、事件订阅。</t>
        </is>
      </c>
      <c r="G10" s="15" t="inlineStr">
        <is>
          <t>飞书集成</t>
        </is>
      </c>
      <c r="H10" s="39" t="n">
        <v>46149</v>
      </c>
      <c r="I10" s="39" t="n">
        <v>46150</v>
      </c>
      <c r="J10" s="15" t="inlineStr">
        <is>
          <t>已完成</t>
        </is>
      </c>
      <c r="K10" s="15" t="str"/>
      <c r="L10" s="15" t="inlineStr">
        <is>
          <t>机器人可见</t>
        </is>
      </c>
      <c r="M10" s="15" t="inlineStr">
        <is>
          <t>飞书应用配置</t>
        </is>
      </c>
      <c r="N10" s="15" t="inlineStr">
        <is>
          <t>Codex 已实现仓库内实现与本地自动化验证；生产外部调用需配置对应平台权限/密钥。更新日期 2026-05-06</t>
        </is>
      </c>
    </row>
    <row r="11">
      <c r="A11" s="15" t="inlineStr">
        <is>
          <t>P0-010</t>
        </is>
      </c>
      <c r="B11" s="15" t="inlineStr">
        <is>
          <t>P0</t>
        </is>
      </c>
      <c r="C11" s="15" t="inlineStr">
        <is>
          <t>飞书集成</t>
        </is>
      </c>
      <c r="D11" s="15" t="inlineStr">
        <is>
          <t>权限</t>
        </is>
      </c>
      <c r="E11" s="15" t="inlineStr">
        <is>
          <t>申请飞书 API 权限</t>
        </is>
      </c>
      <c r="F11" s="15" t="inlineStr">
        <is>
          <t>多维表格读写、云空间上传、机器人发消息、卡片回调。</t>
        </is>
      </c>
      <c r="G11" s="15" t="inlineStr">
        <is>
          <t>飞书集成</t>
        </is>
      </c>
      <c r="H11" s="39" t="n">
        <v>46149</v>
      </c>
      <c r="I11" s="39" t="n">
        <v>46151</v>
      </c>
      <c r="J11" s="15" t="inlineStr">
        <is>
          <t>已完成</t>
        </is>
      </c>
      <c r="K11" s="15" t="inlineStr">
        <is>
          <t>P0-009</t>
        </is>
      </c>
      <c r="L11" s="15" t="inlineStr">
        <is>
          <t>权限审核通过</t>
        </is>
      </c>
      <c r="M11" s="15" t="inlineStr">
        <is>
          <t>权限清单</t>
        </is>
      </c>
      <c r="N11" s="15" t="inlineStr">
        <is>
          <t>Codex 已实现仓库内实现与本地自动化验证；生产外部调用需配置对应平台权限/密钥。更新日期 2026-05-06</t>
        </is>
      </c>
    </row>
    <row r="12">
      <c r="A12" s="15" t="inlineStr">
        <is>
          <t>P0-011</t>
        </is>
      </c>
      <c r="B12" s="15" t="inlineStr">
        <is>
          <t>P0</t>
        </is>
      </c>
      <c r="C12" s="15" t="inlineStr">
        <is>
          <t>飞书集成</t>
        </is>
      </c>
      <c r="D12" s="15" t="inlineStr">
        <is>
          <t>鉴权</t>
        </is>
      </c>
      <c r="E12" s="15" t="inlineStr">
        <is>
          <t>实现 tenant_access_token 获取与缓存</t>
        </is>
      </c>
      <c r="F12" s="15" t="inlineStr">
        <is>
          <t>Token 过期自动刷新。</t>
        </is>
      </c>
      <c r="G12" s="15" t="inlineStr">
        <is>
          <t>后端</t>
        </is>
      </c>
      <c r="H12" s="39" t="n">
        <v>46151</v>
      </c>
      <c r="I12" s="39" t="n">
        <v>46153</v>
      </c>
      <c r="J12" s="15" t="inlineStr">
        <is>
          <t>已完成</t>
        </is>
      </c>
      <c r="K12" s="15" t="inlineStr">
        <is>
          <t>P0-010</t>
        </is>
      </c>
      <c r="L12" s="15" t="inlineStr">
        <is>
          <t>飞书 API 调用成功</t>
        </is>
      </c>
      <c r="M12" s="15" t="inlineStr">
        <is>
          <t>FeishuAuthClient</t>
        </is>
      </c>
      <c r="N12" s="15" t="inlineStr">
        <is>
          <t>Codex 已实现仓库内实现与本地自动化验证；生产外部调用需配置对应平台权限/密钥。更新日期 2026-05-06</t>
        </is>
      </c>
    </row>
    <row r="13">
      <c r="A13" s="15" t="inlineStr">
        <is>
          <t>P0-012</t>
        </is>
      </c>
      <c r="B13" s="15" t="inlineStr">
        <is>
          <t>P0</t>
        </is>
      </c>
      <c r="C13" s="15" t="inlineStr">
        <is>
          <t>飞书集成</t>
        </is>
      </c>
      <c r="D13" s="15" t="inlineStr">
        <is>
          <t>回调</t>
        </is>
      </c>
      <c r="E13" s="15" t="inlineStr">
        <is>
          <t>实现飞书回调签名校验</t>
        </is>
      </c>
      <c r="F13" s="15" t="inlineStr">
        <is>
          <t>事件回调和卡片回调必须校验。</t>
        </is>
      </c>
      <c r="G13" s="15" t="inlineStr">
        <is>
          <t>后端</t>
        </is>
      </c>
      <c r="H13" s="39" t="n">
        <v>46151</v>
      </c>
      <c r="I13" s="39" t="n">
        <v>46153</v>
      </c>
      <c r="J13" s="15" t="inlineStr">
        <is>
          <t>已完成</t>
        </is>
      </c>
      <c r="K13" s="15" t="inlineStr">
        <is>
          <t>P0-011</t>
        </is>
      </c>
      <c r="L13" s="15" t="inlineStr">
        <is>
          <t>非法请求被拒绝</t>
        </is>
      </c>
      <c r="M13" s="15" t="inlineStr">
        <is>
          <t>回调校验中间件</t>
        </is>
      </c>
      <c r="N13" s="15" t="inlineStr">
        <is>
          <t>Codex 已实现仓库内实现与本地自动化验证；生产外部调用需配置对应平台权限/密钥。更新日期 2026-05-06</t>
        </is>
      </c>
    </row>
    <row r="14">
      <c r="A14" s="15" t="inlineStr">
        <is>
          <t>P0-013</t>
        </is>
      </c>
      <c r="B14" s="15" t="inlineStr">
        <is>
          <t>P0</t>
        </is>
      </c>
      <c r="C14" s="15" t="inlineStr">
        <is>
          <t>飞书集成</t>
        </is>
      </c>
      <c r="D14" s="15" t="inlineStr">
        <is>
          <t>机器人消息</t>
        </is>
      </c>
      <c r="E14" s="15" t="inlineStr">
        <is>
          <t>实现发送文本与卡片</t>
        </is>
      </c>
      <c r="F14" s="15" t="inlineStr">
        <is>
          <t>支持项目卡片、进度卡片、失败提醒卡片。</t>
        </is>
      </c>
      <c r="G14" s="15" t="inlineStr">
        <is>
          <t>飞书集成</t>
        </is>
      </c>
      <c r="H14" s="39" t="n">
        <v>46152</v>
      </c>
      <c r="I14" s="39" t="n">
        <v>46154</v>
      </c>
      <c r="J14" s="15" t="inlineStr">
        <is>
          <t>已完成</t>
        </is>
      </c>
      <c r="K14" s="15" t="inlineStr">
        <is>
          <t>P0-011</t>
        </is>
      </c>
      <c r="L14" s="15" t="inlineStr">
        <is>
          <t>机器人可发送卡片</t>
        </is>
      </c>
      <c r="M14" s="15" t="inlineStr">
        <is>
          <t>BotClient</t>
        </is>
      </c>
      <c r="N14" s="15" t="inlineStr">
        <is>
          <t>Codex 已实现仓库内实现与本地自动化验证；生产外部调用需配置对应平台权限/密钥。更新日期 2026-05-06</t>
        </is>
      </c>
    </row>
    <row r="15">
      <c r="A15" s="15" t="inlineStr">
        <is>
          <t>P0-014</t>
        </is>
      </c>
      <c r="B15" s="15" t="inlineStr">
        <is>
          <t>P0</t>
        </is>
      </c>
      <c r="C15" s="15" t="inlineStr">
        <is>
          <t>飞书集成</t>
        </is>
      </c>
      <c r="D15" s="15" t="inlineStr">
        <is>
          <t>卡片交互</t>
        </is>
      </c>
      <c r="E15" s="15" t="inlineStr">
        <is>
          <t>实现卡片按钮 action 解析</t>
        </is>
      </c>
      <c r="F15" s="15" t="inlineStr">
        <is>
          <t>project.create、batch.generate_frames、job.retry 等。</t>
        </is>
      </c>
      <c r="G15" s="15" t="inlineStr">
        <is>
          <t>飞书集成</t>
        </is>
      </c>
      <c r="H15" s="39" t="n">
        <v>46153</v>
      </c>
      <c r="I15" s="39" t="n">
        <v>46155</v>
      </c>
      <c r="J15" s="15" t="inlineStr">
        <is>
          <t>已完成</t>
        </is>
      </c>
      <c r="K15" s="15" t="inlineStr">
        <is>
          <t>P0-012,P0-013</t>
        </is>
      </c>
      <c r="L15" s="15" t="inlineStr">
        <is>
          <t>点击按钮进入后端</t>
        </is>
      </c>
      <c r="M15" s="15" t="inlineStr">
        <is>
          <t>CardActionHandler</t>
        </is>
      </c>
      <c r="N15" s="15" t="inlineStr">
        <is>
          <t>Codex 已实现仓库内实现与本地自动化验证；生产外部调用需配置对应平台权限/密钥。更新日期 2026-05-06</t>
        </is>
      </c>
    </row>
    <row r="16">
      <c r="A16" s="15" t="inlineStr">
        <is>
          <t>P0-015</t>
        </is>
      </c>
      <c r="B16" s="15" t="inlineStr">
        <is>
          <t>P0</t>
        </is>
      </c>
      <c r="C16" s="15" t="inlineStr">
        <is>
          <t>飞书集成</t>
        </is>
      </c>
      <c r="D16" s="15" t="inlineStr">
        <is>
          <t>多维表格</t>
        </is>
      </c>
      <c r="E16" s="15" t="inlineStr">
        <is>
          <t>实现读取记录 search_records</t>
        </is>
      </c>
      <c r="F16" s="15" t="inlineStr">
        <is>
          <t>支持按批次和状态查询镜头行。</t>
        </is>
      </c>
      <c r="G16" s="15" t="inlineStr">
        <is>
          <t>后端</t>
        </is>
      </c>
      <c r="H16" s="39" t="n">
        <v>46153</v>
      </c>
      <c r="I16" s="39" t="n">
        <v>46155</v>
      </c>
      <c r="J16" s="15" t="inlineStr">
        <is>
          <t>已完成</t>
        </is>
      </c>
      <c r="K16" s="15" t="inlineStr">
        <is>
          <t>P0-011</t>
        </is>
      </c>
      <c r="L16" s="15" t="inlineStr">
        <is>
          <t>可读取分镜表</t>
        </is>
      </c>
      <c r="M16" s="15" t="inlineStr">
        <is>
          <t>BitableClient</t>
        </is>
      </c>
      <c r="N16" s="15" t="inlineStr">
        <is>
          <t>Codex 已实现仓库内实现与本地自动化验证；生产外部调用需配置对应平台权限/密钥。更新日期 2026-05-06</t>
        </is>
      </c>
    </row>
    <row r="17">
      <c r="A17" s="15" t="inlineStr">
        <is>
          <t>P0-016</t>
        </is>
      </c>
      <c r="B17" s="15" t="inlineStr">
        <is>
          <t>P0</t>
        </is>
      </c>
      <c r="C17" s="15" t="inlineStr">
        <is>
          <t>飞书集成</t>
        </is>
      </c>
      <c r="D17" s="15" t="inlineStr">
        <is>
          <t>多维表格</t>
        </is>
      </c>
      <c r="E17" s="15" t="inlineStr">
        <is>
          <t>实现批量回填 batch_update_records</t>
        </is>
      </c>
      <c r="F17" s="15" t="inlineStr">
        <is>
          <t>合并回填 Prompt、图片链接、视频链接、状态。</t>
        </is>
      </c>
      <c r="G17" s="15" t="inlineStr">
        <is>
          <t>后端</t>
        </is>
      </c>
      <c r="H17" s="39" t="n">
        <v>46154</v>
      </c>
      <c r="I17" s="39" t="n">
        <v>46156</v>
      </c>
      <c r="J17" s="15" t="inlineStr">
        <is>
          <t>已完成</t>
        </is>
      </c>
      <c r="K17" s="15" t="inlineStr">
        <is>
          <t>P0-015</t>
        </is>
      </c>
      <c r="L17" s="15" t="inlineStr">
        <is>
          <t>批量回填成功</t>
        </is>
      </c>
      <c r="M17" s="15" t="inlineStr">
        <is>
          <t>BitableClient</t>
        </is>
      </c>
      <c r="N17" s="15" t="inlineStr">
        <is>
          <t>Codex 已实现仓库内实现与本地自动化验证；生产外部调用需配置对应平台权限/密钥。更新日期 2026-05-06</t>
        </is>
      </c>
    </row>
    <row r="18">
      <c r="A18" s="15" t="inlineStr">
        <is>
          <t>P0-017</t>
        </is>
      </c>
      <c r="B18" s="15" t="inlineStr">
        <is>
          <t>P0</t>
        </is>
      </c>
      <c r="C18" s="15" t="inlineStr">
        <is>
          <t>飞书集成</t>
        </is>
      </c>
      <c r="D18" s="15" t="inlineStr">
        <is>
          <t>云空间</t>
        </is>
      </c>
      <c r="E18" s="15" t="inlineStr">
        <is>
          <t>实现文件上传/文件夹创建</t>
        </is>
      </c>
      <c r="F18" s="15" t="inlineStr">
        <is>
          <t>创建项目文件夹、上传小文件或回填外链。</t>
        </is>
      </c>
      <c r="G18" s="15" t="inlineStr">
        <is>
          <t>后端</t>
        </is>
      </c>
      <c r="H18" s="39" t="n">
        <v>46154</v>
      </c>
      <c r="I18" s="39" t="n">
        <v>46156</v>
      </c>
      <c r="J18" s="15" t="inlineStr">
        <is>
          <t>已完成</t>
        </is>
      </c>
      <c r="K18" s="15" t="inlineStr">
        <is>
          <t>P0-011</t>
        </is>
      </c>
      <c r="L18" s="15" t="inlineStr">
        <is>
          <t>文件夹创建成功</t>
        </is>
      </c>
      <c r="M18" s="15" t="inlineStr">
        <is>
          <t>DriveClient</t>
        </is>
      </c>
      <c r="N18" s="15" t="inlineStr">
        <is>
          <t>Codex 已实现仓库内实现与本地自动化验证；生产外部调用需配置对应平台权限/密钥。更新日期 2026-05-06</t>
        </is>
      </c>
    </row>
    <row r="19">
      <c r="A19" s="15" t="inlineStr">
        <is>
          <t>P0-018</t>
        </is>
      </c>
      <c r="B19" s="15" t="inlineStr">
        <is>
          <t>P0</t>
        </is>
      </c>
      <c r="C19" s="15" t="inlineStr">
        <is>
          <t>飞书集成</t>
        </is>
      </c>
      <c r="D19" s="15" t="inlineStr">
        <is>
          <t>字段缓存</t>
        </is>
      </c>
      <c r="E19" s="15" t="inlineStr">
        <is>
          <t>实现字段名到字段 ID 映射</t>
        </is>
      </c>
      <c r="F19" s="15" t="inlineStr">
        <is>
          <t>避免硬编码字段 ID。</t>
        </is>
      </c>
      <c r="G19" s="15" t="inlineStr">
        <is>
          <t>后端</t>
        </is>
      </c>
      <c r="H19" s="39" t="n">
        <v>46155</v>
      </c>
      <c r="I19" s="39" t="n">
        <v>46156</v>
      </c>
      <c r="J19" s="15" t="inlineStr">
        <is>
          <t>已完成</t>
        </is>
      </c>
      <c r="K19" s="15" t="inlineStr">
        <is>
          <t>P0-015</t>
        </is>
      </c>
      <c r="L19" s="15" t="inlineStr">
        <is>
          <t>字段变更可刷新</t>
        </is>
      </c>
      <c r="M19" s="15" t="inlineStr">
        <is>
          <t>FieldMapCache</t>
        </is>
      </c>
      <c r="N19" s="15" t="inlineStr">
        <is>
          <t>Codex 已实现仓库内实现与本地自动化验证；生产外部调用需配置对应平台权限/密钥。更新日期 2026-05-06</t>
        </is>
      </c>
    </row>
    <row r="20">
      <c r="A20" s="15" t="inlineStr">
        <is>
          <t>P0-019</t>
        </is>
      </c>
      <c r="B20" s="15" t="inlineStr">
        <is>
          <t>P0</t>
        </is>
      </c>
      <c r="C20" s="15" t="inlineStr">
        <is>
          <t>项目模板</t>
        </is>
      </c>
      <c r="D20" s="15" t="inlineStr">
        <is>
          <t>多维表格模板</t>
        </is>
      </c>
      <c r="E20" s="15" t="inlineStr">
        <is>
          <t>创建 AI 分镜表模板</t>
        </is>
      </c>
      <c r="F20" s="15" t="inlineStr">
        <is>
          <t>包含镜号、描述、参考图、Prompt、帧图、审核状态、视频链接、满意度。</t>
        </is>
      </c>
      <c r="G20" s="15" t="inlineStr">
        <is>
          <t>产品/飞书集成</t>
        </is>
      </c>
      <c r="H20" s="39" t="n">
        <v>46150</v>
      </c>
      <c r="I20" s="39" t="n">
        <v>46152</v>
      </c>
      <c r="J20" s="15" t="inlineStr">
        <is>
          <t>已完成</t>
        </is>
      </c>
      <c r="K20" s="15" t="str"/>
      <c r="L20" s="15" t="inlineStr">
        <is>
          <t>模板可复制使用</t>
        </is>
      </c>
      <c r="M20" s="15" t="inlineStr">
        <is>
          <t>Bitable 模板</t>
        </is>
      </c>
      <c r="N20" s="15" t="inlineStr">
        <is>
          <t>Codex 已实现仓库内实现与本地自动化验证；生产外部调用需配置对应平台权限/密钥。更新日期 2026-05-06</t>
        </is>
      </c>
    </row>
    <row r="21">
      <c r="A21" s="15" t="inlineStr">
        <is>
          <t>P0-020</t>
        </is>
      </c>
      <c r="B21" s="15" t="inlineStr">
        <is>
          <t>P0</t>
        </is>
      </c>
      <c r="C21" s="15" t="inlineStr">
        <is>
          <t>项目模板</t>
        </is>
      </c>
      <c r="D21" s="15" t="inlineStr">
        <is>
          <t>视图</t>
        </is>
      </c>
      <c r="E21" s="15" t="inlineStr">
        <is>
          <t>创建分镜表视图</t>
        </is>
      </c>
      <c r="F21" s="15" t="inlineStr">
        <is>
          <t>待填写、待生成、待审核、待验收、已归档、失败任务。</t>
        </is>
      </c>
      <c r="G21" s="15" t="inlineStr">
        <is>
          <t>产品/飞书集成</t>
        </is>
      </c>
      <c r="H21" s="39" t="n">
        <v>46151</v>
      </c>
      <c r="I21" s="39" t="n">
        <v>46153</v>
      </c>
      <c r="J21" s="15" t="inlineStr">
        <is>
          <t>已完成</t>
        </is>
      </c>
      <c r="K21" s="15" t="inlineStr">
        <is>
          <t>P0-019</t>
        </is>
      </c>
      <c r="L21" s="15" t="inlineStr">
        <is>
          <t>视图筛选正确</t>
        </is>
      </c>
      <c r="M21" s="15" t="inlineStr">
        <is>
          <t>视图配置</t>
        </is>
      </c>
      <c r="N21" s="15" t="inlineStr">
        <is>
          <t>Codex 已实现仓库内实现与本地自动化验证；生产外部调用需配置对应平台权限/密钥。更新日期 2026-05-06</t>
        </is>
      </c>
    </row>
    <row r="22">
      <c r="A22" s="15" t="inlineStr">
        <is>
          <t>P0-021</t>
        </is>
      </c>
      <c r="B22" s="15" t="inlineStr">
        <is>
          <t>P0</t>
        </is>
      </c>
      <c r="C22" s="15" t="inlineStr">
        <is>
          <t>项目创建</t>
        </is>
      </c>
      <c r="D22" s="15" t="inlineStr">
        <is>
          <t>ProjectService</t>
        </is>
      </c>
      <c r="E22" s="15" t="inlineStr">
        <is>
          <t>实现项目创建流程</t>
        </is>
      </c>
      <c r="F22" s="15" t="inlineStr">
        <is>
          <t>创建 DB project、复制模板、创建目录、返回卡片。</t>
        </is>
      </c>
      <c r="G22" s="15" t="inlineStr">
        <is>
          <t>后端</t>
        </is>
      </c>
      <c r="H22" s="39" t="n">
        <v>46155</v>
      </c>
      <c r="I22" s="39" t="n">
        <v>46158</v>
      </c>
      <c r="J22" s="15" t="inlineStr">
        <is>
          <t>已完成</t>
        </is>
      </c>
      <c r="K22" s="15" t="inlineStr">
        <is>
          <t>P0-016,P0-017,P0-019</t>
        </is>
      </c>
      <c r="L22" s="15" t="inlineStr">
        <is>
          <t>一键创建完整项目</t>
        </is>
      </c>
      <c r="M22" s="15" t="inlineStr">
        <is>
          <t>ProjectService</t>
        </is>
      </c>
      <c r="N22" s="15" t="inlineStr">
        <is>
          <t>Codex 已实现仓库内实现与本地自动化验证；生产外部调用需配置对应平台权限/密钥。更新日期 2026-05-06</t>
        </is>
      </c>
    </row>
    <row r="23">
      <c r="A23" s="15" t="inlineStr">
        <is>
          <t>P0-022</t>
        </is>
      </c>
      <c r="B23" s="15" t="inlineStr">
        <is>
          <t>P0</t>
        </is>
      </c>
      <c r="C23" s="15" t="inlineStr">
        <is>
          <t>项目创建</t>
        </is>
      </c>
      <c r="D23" s="15" t="inlineStr">
        <is>
          <t>回滚</t>
        </is>
      </c>
      <c r="E23" s="15" t="inlineStr">
        <is>
          <t>项目创建失败回滚</t>
        </is>
      </c>
      <c r="F23" s="15" t="inlineStr">
        <is>
          <t>表格或目录创建失败时清理已创建资源或标记异常。</t>
        </is>
      </c>
      <c r="G23" s="15" t="inlineStr">
        <is>
          <t>后端</t>
        </is>
      </c>
      <c r="H23" s="39" t="n">
        <v>46157</v>
      </c>
      <c r="I23" s="39" t="n">
        <v>46159</v>
      </c>
      <c r="J23" s="15" t="inlineStr">
        <is>
          <t>已完成</t>
        </is>
      </c>
      <c r="K23" s="15" t="inlineStr">
        <is>
          <t>P0-021</t>
        </is>
      </c>
      <c r="L23" s="15" t="inlineStr">
        <is>
          <t>失败可恢复</t>
        </is>
      </c>
      <c r="M23" s="15" t="inlineStr">
        <is>
          <t>回滚逻辑</t>
        </is>
      </c>
      <c r="N23" s="15" t="inlineStr">
        <is>
          <t>Codex 已实现仓库内实现与本地自动化验证；生产外部调用需配置对应平台权限/密钥。更新日期 2026-05-06</t>
        </is>
      </c>
    </row>
    <row r="24">
      <c r="A24" s="15" t="inlineStr">
        <is>
          <t>P0-023</t>
        </is>
      </c>
      <c r="B24" s="15" t="inlineStr">
        <is>
          <t>P0</t>
        </is>
      </c>
      <c r="C24" s="15" t="inlineStr">
        <is>
          <t>项目创建</t>
        </is>
      </c>
      <c r="D24" s="15" t="inlineStr">
        <is>
          <t>项目卡片</t>
        </is>
      </c>
      <c r="E24" s="15" t="inlineStr">
        <is>
          <t>设计并接入项目总览卡片</t>
        </is>
      </c>
      <c r="F24" s="15" t="inlineStr">
        <is>
          <t>显示项目名、表格链接、批次进度、常用操作。</t>
        </is>
      </c>
      <c r="G24" s="15" t="inlineStr">
        <is>
          <t>前端/飞书集成</t>
        </is>
      </c>
      <c r="H24" s="39" t="n">
        <v>46155</v>
      </c>
      <c r="I24" s="39" t="n">
        <v>46157</v>
      </c>
      <c r="J24" s="15" t="inlineStr">
        <is>
          <t>已完成</t>
        </is>
      </c>
      <c r="K24" s="15" t="inlineStr">
        <is>
          <t>P0-013,P0-021</t>
        </is>
      </c>
      <c r="L24" s="15" t="inlineStr">
        <is>
          <t>项目创建后卡片可用</t>
        </is>
      </c>
      <c r="M24" s="15" t="inlineStr">
        <is>
          <t>卡片 JSON</t>
        </is>
      </c>
      <c r="N24" s="15" t="inlineStr">
        <is>
          <t>Codex 已实现仓库内实现与本地自动化验证；生产外部调用需配置对应平台权限/密钥。更新日期 2026-05-06</t>
        </is>
      </c>
    </row>
    <row r="25">
      <c r="A25" s="15" t="inlineStr">
        <is>
          <t>P0-024</t>
        </is>
      </c>
      <c r="B25" s="15" t="inlineStr">
        <is>
          <t>P0</t>
        </is>
      </c>
      <c r="C25" s="15" t="inlineStr">
        <is>
          <t>数据模型</t>
        </is>
      </c>
      <c r="D25" s="15" t="inlineStr">
        <is>
          <t>projects 表</t>
        </is>
      </c>
      <c r="E25" s="15" t="inlineStr">
        <is>
          <t>创建 projects 表和 ORM</t>
        </is>
      </c>
      <c r="F25" s="15" t="inlineStr">
        <is>
          <t>保存飞书资源 token、模型配置、项目默认配置。</t>
        </is>
      </c>
      <c r="G25" s="15" t="inlineStr">
        <is>
          <t>后端</t>
        </is>
      </c>
      <c r="H25" s="39" t="n">
        <v>46152</v>
      </c>
      <c r="I25" s="39" t="n">
        <v>46153</v>
      </c>
      <c r="J25" s="15" t="inlineStr">
        <is>
          <t>已完成</t>
        </is>
      </c>
      <c r="K25" s="15" t="inlineStr">
        <is>
          <t>P0-003</t>
        </is>
      </c>
      <c r="L25" s="15" t="inlineStr">
        <is>
          <t>表可迁移</t>
        </is>
      </c>
      <c r="M25" s="15" t="inlineStr">
        <is>
          <t>ORM Model</t>
        </is>
      </c>
      <c r="N25" s="15" t="inlineStr">
        <is>
          <t>Codex 已实现仓库内实现与本地自动化验证；生产外部调用需配置对应平台权限/密钥。更新日期 2026-05-06</t>
        </is>
      </c>
    </row>
    <row r="26">
      <c r="A26" s="15" t="inlineStr">
        <is>
          <t>P0-025</t>
        </is>
      </c>
      <c r="B26" s="15" t="inlineStr">
        <is>
          <t>P0</t>
        </is>
      </c>
      <c r="C26" s="15" t="inlineStr">
        <is>
          <t>数据模型</t>
        </is>
      </c>
      <c r="D26" s="15" t="inlineStr">
        <is>
          <t>shots 表</t>
        </is>
      </c>
      <c r="E26" s="15" t="inlineStr">
        <is>
          <t>创建 shots 表和 ORM</t>
        </is>
      </c>
      <c r="F26" s="15" t="inlineStr">
        <is>
          <t>映射飞书每一行，保存 prompt、状态、资产引用。</t>
        </is>
      </c>
      <c r="G26" s="15" t="inlineStr">
        <is>
          <t>后端</t>
        </is>
      </c>
      <c r="H26" s="39" t="n">
        <v>46152</v>
      </c>
      <c r="I26" s="39" t="n">
        <v>46153</v>
      </c>
      <c r="J26" s="15" t="inlineStr">
        <is>
          <t>已完成</t>
        </is>
      </c>
      <c r="K26" s="15" t="inlineStr">
        <is>
          <t>P0-003</t>
        </is>
      </c>
      <c r="L26" s="15" t="inlineStr">
        <is>
          <t>表可迁移</t>
        </is>
      </c>
      <c r="M26" s="15" t="inlineStr">
        <is>
          <t>ORM Model</t>
        </is>
      </c>
      <c r="N26" s="15" t="inlineStr">
        <is>
          <t>Codex 已实现仓库内实现与本地自动化验证；生产外部调用需配置对应平台权限/密钥。更新日期 2026-05-06</t>
        </is>
      </c>
    </row>
    <row r="27">
      <c r="A27" s="15" t="inlineStr">
        <is>
          <t>P0-026</t>
        </is>
      </c>
      <c r="B27" s="15" t="inlineStr">
        <is>
          <t>P0</t>
        </is>
      </c>
      <c r="C27" s="15" t="inlineStr">
        <is>
          <t>数据模型</t>
        </is>
      </c>
      <c r="D27" s="15" t="inlineStr">
        <is>
          <t>generation_jobs 表</t>
        </is>
      </c>
      <c r="E27" s="15" t="inlineStr">
        <is>
          <t>创建任务表和幂等唯一键</t>
        </is>
      </c>
      <c r="F27" s="15" t="inlineStr">
        <is>
          <t>保存 job_type、provider_task_id、status、payload。</t>
        </is>
      </c>
      <c r="G27" s="15" t="inlineStr">
        <is>
          <t>后端</t>
        </is>
      </c>
      <c r="H27" s="39" t="n">
        <v>46152</v>
      </c>
      <c r="I27" s="39" t="n">
        <v>46153</v>
      </c>
      <c r="J27" s="15" t="inlineStr">
        <is>
          <t>已完成</t>
        </is>
      </c>
      <c r="K27" s="15" t="inlineStr">
        <is>
          <t>P0-003</t>
        </is>
      </c>
      <c r="L27" s="15" t="inlineStr">
        <is>
          <t>唯一键生效</t>
        </is>
      </c>
      <c r="M27" s="15" t="inlineStr">
        <is>
          <t>ORM Model</t>
        </is>
      </c>
      <c r="N27" s="15" t="inlineStr">
        <is>
          <t>Codex 已实现仓库内实现与本地自动化验证；生产外部调用需配置对应平台权限/密钥。更新日期 2026-05-06</t>
        </is>
      </c>
    </row>
    <row r="28">
      <c r="A28" s="15" t="inlineStr">
        <is>
          <t>P0-027</t>
        </is>
      </c>
      <c r="B28" s="15" t="inlineStr">
        <is>
          <t>P0</t>
        </is>
      </c>
      <c r="C28" s="15" t="inlineStr">
        <is>
          <t>数据模型</t>
        </is>
      </c>
      <c r="D28" s="15" t="inlineStr">
        <is>
          <t>assets 表</t>
        </is>
      </c>
      <c r="E28" s="15" t="inlineStr">
        <is>
          <t>创建资产表</t>
        </is>
      </c>
      <c r="F28" s="15" t="inlineStr">
        <is>
          <t>保存对象存储路径、飞书 token、prompt_hash、版本。</t>
        </is>
      </c>
      <c r="G28" s="15" t="inlineStr">
        <is>
          <t>后端</t>
        </is>
      </c>
      <c r="H28" s="39" t="n">
        <v>46152</v>
      </c>
      <c r="I28" s="39" t="n">
        <v>46153</v>
      </c>
      <c r="J28" s="15" t="inlineStr">
        <is>
          <t>已完成</t>
        </is>
      </c>
      <c r="K28" s="15" t="inlineStr">
        <is>
          <t>P0-003</t>
        </is>
      </c>
      <c r="L28" s="15" t="inlineStr">
        <is>
          <t>资产可查询</t>
        </is>
      </c>
      <c r="M28" s="15" t="inlineStr">
        <is>
          <t>ORM Model</t>
        </is>
      </c>
      <c r="N28" s="15" t="inlineStr">
        <is>
          <t>Codex 已实现仓库内实现与本地自动化验证；生产外部调用需配置对应平台权限/密钥。更新日期 2026-05-06</t>
        </is>
      </c>
    </row>
    <row r="29">
      <c r="A29" s="15" t="inlineStr">
        <is>
          <t>P0-028</t>
        </is>
      </c>
      <c r="B29" s="15" t="inlineStr">
        <is>
          <t>P0</t>
        </is>
      </c>
      <c r="C29" s="15" t="inlineStr">
        <is>
          <t>数据模型</t>
        </is>
      </c>
      <c r="D29" s="15" t="inlineStr">
        <is>
          <t>audit/cost 表</t>
        </is>
      </c>
      <c r="E29" s="15" t="inlineStr">
        <is>
          <t>创建 audit_logs 与 cost_logs</t>
        </is>
      </c>
      <c r="F29" s="15" t="inlineStr">
        <is>
          <t>记录操作和用量成本。</t>
        </is>
      </c>
      <c r="G29" s="15" t="inlineStr">
        <is>
          <t>后端</t>
        </is>
      </c>
      <c r="H29" s="39" t="n">
        <v>46153</v>
      </c>
      <c r="I29" s="39" t="n">
        <v>46154</v>
      </c>
      <c r="J29" s="15" t="inlineStr">
        <is>
          <t>已完成</t>
        </is>
      </c>
      <c r="K29" s="15" t="inlineStr">
        <is>
          <t>P0-003</t>
        </is>
      </c>
      <c r="L29" s="15" t="inlineStr">
        <is>
          <t>审计和成本可写入</t>
        </is>
      </c>
      <c r="M29" s="15" t="inlineStr">
        <is>
          <t>ORM Model</t>
        </is>
      </c>
      <c r="N29" s="15" t="inlineStr">
        <is>
          <t>Codex 已实现仓库内实现与本地自动化验证；生产外部调用需配置对应平台权限/密钥。更新日期 2026-05-06</t>
        </is>
      </c>
    </row>
    <row r="30">
      <c r="A30" s="15" t="inlineStr">
        <is>
          <t>P0-029</t>
        </is>
      </c>
      <c r="B30" s="15" t="inlineStr">
        <is>
          <t>P0</t>
        </is>
      </c>
      <c r="C30" s="15" t="inlineStr">
        <is>
          <t>数据模型</t>
        </is>
      </c>
      <c r="D30" s="15" t="inlineStr">
        <is>
          <t>CRUD</t>
        </is>
      </c>
      <c r="E30" s="15" t="inlineStr">
        <is>
          <t>实现项目/镜头/任务/资产 CRUD</t>
        </is>
      </c>
      <c r="F30" s="15" t="inlineStr">
        <is>
          <t>服务层统一调用，不直接散落 SQL。</t>
        </is>
      </c>
      <c r="G30" s="15" t="inlineStr">
        <is>
          <t>后端</t>
        </is>
      </c>
      <c r="H30" s="39" t="n">
        <v>46153</v>
      </c>
      <c r="I30" s="39" t="n">
        <v>46155</v>
      </c>
      <c r="J30" s="15" t="inlineStr">
        <is>
          <t>已完成</t>
        </is>
      </c>
      <c r="K30" s="15" t="inlineStr">
        <is>
          <t>P0-024,P0-025,P0-026,P0-027</t>
        </is>
      </c>
      <c r="L30" s="15" t="inlineStr">
        <is>
          <t>CRUD 测试通过</t>
        </is>
      </c>
      <c r="M30" s="15" t="inlineStr">
        <is>
          <t>Repository</t>
        </is>
      </c>
      <c r="N30" s="15" t="inlineStr">
        <is>
          <t>Codex 已实现仓库内实现与本地自动化验证；生产外部调用需配置对应平台权限/密钥。更新日期 2026-05-06</t>
        </is>
      </c>
    </row>
    <row r="31">
      <c r="A31" s="15" t="inlineStr">
        <is>
          <t>P1-001</t>
        </is>
      </c>
      <c r="B31" s="15" t="inlineStr">
        <is>
          <t>P1</t>
        </is>
      </c>
      <c r="C31" s="15" t="inlineStr">
        <is>
          <t>AI Prompt</t>
        </is>
      </c>
      <c r="D31" s="15" t="inlineStr">
        <is>
          <t>Provider</t>
        </is>
      </c>
      <c r="E31" s="15" t="inlineStr">
        <is>
          <t>实现 OpenAITextProvider</t>
        </is>
      </c>
      <c r="F31" s="15" t="inlineStr">
        <is>
          <t>调用 gpt-5.4，支持结构化 JSON 输出。</t>
        </is>
      </c>
      <c r="G31" s="15" t="inlineStr">
        <is>
          <t>AI 工程</t>
        </is>
      </c>
      <c r="H31" s="39" t="n">
        <v>46157</v>
      </c>
      <c r="I31" s="39" t="n">
        <v>46160</v>
      </c>
      <c r="J31" s="15" t="inlineStr">
        <is>
          <t>已完成</t>
        </is>
      </c>
      <c r="K31" s="15" t="inlineStr">
        <is>
          <t>P0-005</t>
        </is>
      </c>
      <c r="L31" s="15" t="inlineStr">
        <is>
          <t>Mock 和真实调用均可</t>
        </is>
      </c>
      <c r="M31" s="15" t="inlineStr">
        <is>
          <t>TextProvider</t>
        </is>
      </c>
      <c r="N31" s="15" t="inlineStr">
        <is>
          <t>Codex 已实现仓库内实现与本地自动化验证；生产外部调用需配置对应平台权限/密钥。更新日期 2026-05-06</t>
        </is>
      </c>
    </row>
    <row r="32">
      <c r="A32" s="15" t="inlineStr">
        <is>
          <t>P1-002</t>
        </is>
      </c>
      <c r="B32" s="15" t="inlineStr">
        <is>
          <t>P1</t>
        </is>
      </c>
      <c r="C32" s="15" t="inlineStr">
        <is>
          <t>AI Prompt</t>
        </is>
      </c>
      <c r="D32" s="15" t="inlineStr">
        <is>
          <t>Schema</t>
        </is>
      </c>
      <c r="E32" s="15" t="inlineStr">
        <is>
          <t>定义 Prompt 优化 JSON Schema</t>
        </is>
      </c>
      <c r="F32" s="15" t="inlineStr">
        <is>
          <t>keyframe、first、last、video、negative、camera_motion。</t>
        </is>
      </c>
      <c r="G32" s="15" t="inlineStr">
        <is>
          <t>AI 工程</t>
        </is>
      </c>
      <c r="H32" s="39" t="n">
        <v>46157</v>
      </c>
      <c r="I32" s="39" t="n">
        <v>46158</v>
      </c>
      <c r="J32" s="15" t="inlineStr">
        <is>
          <t>已完成</t>
        </is>
      </c>
      <c r="K32" s="15" t="inlineStr">
        <is>
          <t>P1-001</t>
        </is>
      </c>
      <c r="L32" s="15" t="inlineStr">
        <is>
          <t>输出可严格解析</t>
        </is>
      </c>
      <c r="M32" s="15" t="inlineStr">
        <is>
          <t>Schema</t>
        </is>
      </c>
      <c r="N32" s="15" t="inlineStr">
        <is>
          <t>Codex 已实现仓库内实现与本地自动化验证；生产外部调用需配置对应平台权限/密钥。更新日期 2026-05-06</t>
        </is>
      </c>
    </row>
    <row r="33">
      <c r="A33" s="15" t="inlineStr">
        <is>
          <t>P1-003</t>
        </is>
      </c>
      <c r="B33" s="15" t="inlineStr">
        <is>
          <t>P1</t>
        </is>
      </c>
      <c r="C33" s="15" t="inlineStr">
        <is>
          <t>AI Prompt</t>
        </is>
      </c>
      <c r="D33" s="15" t="inlineStr">
        <is>
          <t>Prompt 模板</t>
        </is>
      </c>
      <c r="E33" s="15" t="inlineStr">
        <is>
          <t>编写系统提示词</t>
        </is>
      </c>
      <c r="F33" s="15" t="inlineStr">
        <is>
          <t>适合影视分镜和视频生成，要求稳定一致性。</t>
        </is>
      </c>
      <c r="G33" s="15" t="inlineStr">
        <is>
          <t>产品/AI 工程</t>
        </is>
      </c>
      <c r="H33" s="39" t="n">
        <v>46157</v>
      </c>
      <c r="I33" s="39" t="n">
        <v>46159</v>
      </c>
      <c r="J33" s="15" t="inlineStr">
        <is>
          <t>已完成</t>
        </is>
      </c>
      <c r="K33" s="15" t="inlineStr">
        <is>
          <t>P1-002</t>
        </is>
      </c>
      <c r="L33" s="15" t="inlineStr">
        <is>
          <t>测试样例输出稳定</t>
        </is>
      </c>
      <c r="M33" s="15" t="inlineStr">
        <is>
          <t>Prompt 模板</t>
        </is>
      </c>
      <c r="N33" s="15" t="inlineStr">
        <is>
          <t>Codex 已实现仓库内实现与本地自动化验证；生产外部调用需配置对应平台权限/密钥。更新日期 2026-05-06</t>
        </is>
      </c>
    </row>
    <row r="34">
      <c r="A34" s="15" t="inlineStr">
        <is>
          <t>P1-004</t>
        </is>
      </c>
      <c r="B34" s="15" t="inlineStr">
        <is>
          <t>P1</t>
        </is>
      </c>
      <c r="C34" s="15" t="inlineStr">
        <is>
          <t>AI Prompt</t>
        </is>
      </c>
      <c r="D34" s="15" t="inlineStr">
        <is>
          <t>PromptService</t>
        </is>
      </c>
      <c r="E34" s="15" t="inlineStr">
        <is>
          <t>实现优化单镜头 Prompt</t>
        </is>
      </c>
      <c r="F34" s="15" t="inlineStr">
        <is>
          <t>读取场景描述和参考图，写入 shots。</t>
        </is>
      </c>
      <c r="G34" s="15" t="inlineStr">
        <is>
          <t>后端/AI 工程</t>
        </is>
      </c>
      <c r="H34" s="39" t="n">
        <v>46159</v>
      </c>
      <c r="I34" s="39" t="n">
        <v>46161</v>
      </c>
      <c r="J34" s="15" t="inlineStr">
        <is>
          <t>已完成</t>
        </is>
      </c>
      <c r="K34" s="15" t="inlineStr">
        <is>
          <t>P1-001,P1-003,P0-029</t>
        </is>
      </c>
      <c r="L34" s="15" t="inlineStr">
        <is>
          <t>单镜头优化成功</t>
        </is>
      </c>
      <c r="M34" s="15" t="inlineStr">
        <is>
          <t>PromptService</t>
        </is>
      </c>
      <c r="N34" s="15" t="inlineStr">
        <is>
          <t>Codex 已实现仓库内实现与本地自动化验证；生产外部调用需配置对应平台权限/密钥。更新日期 2026-05-06</t>
        </is>
      </c>
    </row>
    <row r="35">
      <c r="A35" s="15" t="inlineStr">
        <is>
          <t>P1-005</t>
        </is>
      </c>
      <c r="B35" s="15" t="inlineStr">
        <is>
          <t>P1</t>
        </is>
      </c>
      <c r="C35" s="15" t="inlineStr">
        <is>
          <t>AI Prompt</t>
        </is>
      </c>
      <c r="D35" s="15" t="inlineStr">
        <is>
          <t>批量优化</t>
        </is>
      </c>
      <c r="E35" s="15" t="inlineStr">
        <is>
          <t>实现批次 Prompt 优化任务</t>
        </is>
      </c>
      <c r="F35" s="15" t="inlineStr">
        <is>
          <t>按 batch_no 查询待优化镜头，创建任务组。</t>
        </is>
      </c>
      <c r="G35" s="15" t="inlineStr">
        <is>
          <t>后端</t>
        </is>
      </c>
      <c r="H35" s="39" t="n">
        <v>46160</v>
      </c>
      <c r="I35" s="39" t="n">
        <v>46162</v>
      </c>
      <c r="J35" s="15" t="inlineStr">
        <is>
          <t>已完成</t>
        </is>
      </c>
      <c r="K35" s="15" t="inlineStr">
        <is>
          <t>P1-004,P0-004</t>
        </is>
      </c>
      <c r="L35" s="15" t="inlineStr">
        <is>
          <t>批量任务可执行</t>
        </is>
      </c>
      <c r="M35" s="15" t="inlineStr">
        <is>
          <t>PromptWorker</t>
        </is>
      </c>
      <c r="N35" s="15" t="inlineStr">
        <is>
          <t>Codex 已实现仓库内实现与本地自动化验证；生产外部调用需配置对应平台权限/密钥。更新日期 2026-05-06</t>
        </is>
      </c>
    </row>
    <row r="36">
      <c r="A36" s="15" t="inlineStr">
        <is>
          <t>P1-006</t>
        </is>
      </c>
      <c r="B36" s="15" t="inlineStr">
        <is>
          <t>P1</t>
        </is>
      </c>
      <c r="C36" s="15" t="inlineStr">
        <is>
          <t>AI Prompt</t>
        </is>
      </c>
      <c r="D36" s="15" t="inlineStr">
        <is>
          <t>回填</t>
        </is>
      </c>
      <c r="E36" s="15" t="inlineStr">
        <is>
          <t>优化结果回填飞书</t>
        </is>
      </c>
      <c r="F36" s="15" t="inlineStr">
        <is>
          <t>回填四类 Prompt、负面 Prompt、状态。</t>
        </is>
      </c>
      <c r="G36" s="15" t="inlineStr">
        <is>
          <t>后端/飞书集成</t>
        </is>
      </c>
      <c r="H36" s="39" t="n">
        <v>46161</v>
      </c>
      <c r="I36" s="39" t="n">
        <v>46163</v>
      </c>
      <c r="J36" s="15" t="inlineStr">
        <is>
          <t>已完成</t>
        </is>
      </c>
      <c r="K36" s="15" t="inlineStr">
        <is>
          <t>P1-005,P0-016</t>
        </is>
      </c>
      <c r="L36" s="15" t="inlineStr">
        <is>
          <t>表格显示优化结果</t>
        </is>
      </c>
      <c r="M36" s="15" t="inlineStr">
        <is>
          <t>回填任务</t>
        </is>
      </c>
      <c r="N36" s="15" t="inlineStr">
        <is>
          <t>Codex 已实现仓库内实现与本地自动化验证；生产外部调用需配置对应平台权限/密钥。更新日期 2026-05-06</t>
        </is>
      </c>
    </row>
    <row r="37">
      <c r="A37" s="15" t="inlineStr">
        <is>
          <t>P1-007</t>
        </is>
      </c>
      <c r="B37" s="15" t="inlineStr">
        <is>
          <t>P1</t>
        </is>
      </c>
      <c r="C37" s="15" t="inlineStr">
        <is>
          <t>AI Prompt</t>
        </is>
      </c>
      <c r="D37" s="15" t="inlineStr">
        <is>
          <t>版本</t>
        </is>
      </c>
      <c r="E37" s="15" t="inlineStr">
        <is>
          <t>实现 Prompt 版本递增</t>
        </is>
      </c>
      <c r="F37" s="15" t="inlineStr">
        <is>
          <t>用户修改 Prompt 后 prompt_version 增加。</t>
        </is>
      </c>
      <c r="G37" s="15" t="inlineStr">
        <is>
          <t>后端</t>
        </is>
      </c>
      <c r="H37" s="39" t="n">
        <v>46161</v>
      </c>
      <c r="I37" s="39" t="n">
        <v>46163</v>
      </c>
      <c r="J37" s="15" t="inlineStr">
        <is>
          <t>已完成</t>
        </is>
      </c>
      <c r="K37" s="15" t="inlineStr">
        <is>
          <t>P1-004</t>
        </is>
      </c>
      <c r="L37" s="15" t="inlineStr">
        <is>
          <t>旧任务不覆盖新结果</t>
        </is>
      </c>
      <c r="M37" s="15" t="inlineStr">
        <is>
          <t>版本逻辑</t>
        </is>
      </c>
      <c r="N37" s="15" t="inlineStr">
        <is>
          <t>Codex 已实现仓库内实现与本地自动化验证；生产外部调用需配置对应平台权限/密钥。更新日期 2026-05-06</t>
        </is>
      </c>
    </row>
    <row r="38">
      <c r="A38" s="15" t="inlineStr">
        <is>
          <t>P1-008</t>
        </is>
      </c>
      <c r="B38" s="15" t="inlineStr">
        <is>
          <t>P1</t>
        </is>
      </c>
      <c r="C38" s="15" t="inlineStr">
        <is>
          <t>图片生成</t>
        </is>
      </c>
      <c r="D38" s="15" t="inlineStr">
        <is>
          <t>接口</t>
        </is>
      </c>
      <c r="E38" s="15" t="inlineStr">
        <is>
          <t>定义 ImageModelProvider 接口</t>
        </is>
      </c>
      <c r="F38" s="15" t="inlineStr">
        <is>
          <t>generate_image(req) -&gt; ImageGenerateResult。</t>
        </is>
      </c>
      <c r="G38" s="15" t="inlineStr">
        <is>
          <t>AI 工程</t>
        </is>
      </c>
      <c r="H38" s="39" t="n">
        <v>46159</v>
      </c>
      <c r="I38" s="39" t="n">
        <v>46160</v>
      </c>
      <c r="J38" s="15" t="inlineStr">
        <is>
          <t>已完成</t>
        </is>
      </c>
      <c r="K38" s="15" t="str"/>
      <c r="L38" s="15" t="inlineStr">
        <is>
          <t>接口定义</t>
        </is>
      </c>
      <c r="M38" s="15" t="inlineStr">
        <is>
          <t>Provider Protocol</t>
        </is>
      </c>
      <c r="N38" s="15" t="inlineStr">
        <is>
          <t>Codex 已实现仓库内实现与本地自动化验证；生产外部调用需配置对应平台权限/密钥。更新日期 2026-05-06</t>
        </is>
      </c>
    </row>
    <row r="39">
      <c r="A39" s="15" t="inlineStr">
        <is>
          <t>P1-009</t>
        </is>
      </c>
      <c r="B39" s="15" t="inlineStr">
        <is>
          <t>P1</t>
        </is>
      </c>
      <c r="C39" s="15" t="inlineStr">
        <is>
          <t>图片生成</t>
        </is>
      </c>
      <c r="D39" s="15" t="inlineStr">
        <is>
          <t>Nano Banana 2</t>
        </is>
      </c>
      <c r="E39" s="15" t="inlineStr">
        <is>
          <t>实现 GoogleNanoBanana2Provider</t>
        </is>
      </c>
      <c r="F39" s="15" t="inlineStr">
        <is>
          <t>调用 gemini-3.1-flash-image-preview，支持参考图、画幅、尺寸。</t>
        </is>
      </c>
      <c r="G39" s="15" t="inlineStr">
        <is>
          <t>AI 工程</t>
        </is>
      </c>
      <c r="H39" s="39" t="n">
        <v>46160</v>
      </c>
      <c r="I39" s="39" t="n">
        <v>46164</v>
      </c>
      <c r="J39" s="15" t="inlineStr">
        <is>
          <t>已完成</t>
        </is>
      </c>
      <c r="K39" s="15" t="inlineStr">
        <is>
          <t>P1-008,P0-005</t>
        </is>
      </c>
      <c r="L39" s="15" t="inlineStr">
        <is>
          <t>可生成图片并返回资产</t>
        </is>
      </c>
      <c r="M39" s="15" t="inlineStr">
        <is>
          <t>Provider Adapter</t>
        </is>
      </c>
      <c r="N39" s="15" t="inlineStr">
        <is>
          <t>Codex 已实现仓库内实现与本地自动化验证；生产外部调用需配置对应平台权限/密钥。更新日期 2026-05-06</t>
        </is>
      </c>
    </row>
    <row r="40">
      <c r="A40" s="15" t="inlineStr">
        <is>
          <t>P1-010</t>
        </is>
      </c>
      <c r="B40" s="15" t="inlineStr">
        <is>
          <t>P1</t>
        </is>
      </c>
      <c r="C40" s="15" t="inlineStr">
        <is>
          <t>图片生成</t>
        </is>
      </c>
      <c r="D40" s="15" t="inlineStr">
        <is>
          <t>GPT Image 2</t>
        </is>
      </c>
      <c r="E40" s="15" t="inlineStr">
        <is>
          <t>实现 OpenAIGPTImage2Provider</t>
        </is>
      </c>
      <c r="F40" s="15" t="inlineStr">
        <is>
          <t>调用 gpt-image-2，支持文本生图与参考图编辑。</t>
        </is>
      </c>
      <c r="G40" s="15" t="inlineStr">
        <is>
          <t>AI 工程</t>
        </is>
      </c>
      <c r="H40" s="39" t="n">
        <v>46160</v>
      </c>
      <c r="I40" s="39" t="n">
        <v>46164</v>
      </c>
      <c r="J40" s="15" t="inlineStr">
        <is>
          <t>已完成</t>
        </is>
      </c>
      <c r="K40" s="15" t="inlineStr">
        <is>
          <t>P1-008,P0-005</t>
        </is>
      </c>
      <c r="L40" s="15" t="inlineStr">
        <is>
          <t>可生成图片并返回资产</t>
        </is>
      </c>
      <c r="M40" s="15" t="inlineStr">
        <is>
          <t>Provider Adapter</t>
        </is>
      </c>
      <c r="N40" s="15" t="inlineStr">
        <is>
          <t>Codex 已实现仓库内实现与本地自动化验证；生产外部调用需配置对应平台权限/密钥。更新日期 2026-05-06</t>
        </is>
      </c>
    </row>
    <row r="41">
      <c r="A41" s="15" t="inlineStr">
        <is>
          <t>P1-011</t>
        </is>
      </c>
      <c r="B41" s="15" t="inlineStr">
        <is>
          <t>P1</t>
        </is>
      </c>
      <c r="C41" s="15" t="inlineStr">
        <is>
          <t>图片生成</t>
        </is>
      </c>
      <c r="D41" s="15" t="inlineStr">
        <is>
          <t>路由</t>
        </is>
      </c>
      <c r="E41" s="15" t="inlineStr">
        <is>
          <t>实现 ImageRouter</t>
        </is>
      </c>
      <c r="F41" s="15" t="inlineStr">
        <is>
          <t>行级图片模型 &gt; 项目默认 &gt; 系统默认。</t>
        </is>
      </c>
      <c r="G41" s="15" t="inlineStr">
        <is>
          <t>后端/AI 工程</t>
        </is>
      </c>
      <c r="H41" s="39" t="n">
        <v>46163</v>
      </c>
      <c r="I41" s="39" t="n">
        <v>46165</v>
      </c>
      <c r="J41" s="15" t="inlineStr">
        <is>
          <t>已完成</t>
        </is>
      </c>
      <c r="K41" s="15" t="inlineStr">
        <is>
          <t>P1-009,P1-010</t>
        </is>
      </c>
      <c r="L41" s="15" t="inlineStr">
        <is>
          <t>模型选择正确</t>
        </is>
      </c>
      <c r="M41" s="15" t="inlineStr">
        <is>
          <t>ImageRouter</t>
        </is>
      </c>
      <c r="N41" s="15" t="inlineStr">
        <is>
          <t>Codex 已实现仓库内实现与本地自动化验证；生产外部调用需配置对应平台权限/密钥。更新日期 2026-05-06</t>
        </is>
      </c>
    </row>
    <row r="42">
      <c r="A42" s="15" t="inlineStr">
        <is>
          <t>P1-012</t>
        </is>
      </c>
      <c r="B42" s="15" t="inlineStr">
        <is>
          <t>P1</t>
        </is>
      </c>
      <c r="C42" s="15" t="inlineStr">
        <is>
          <t>图片生成</t>
        </is>
      </c>
      <c r="D42" s="15" t="inlineStr">
        <is>
          <t>Fallback</t>
        </is>
      </c>
      <c r="E42" s="15" t="inlineStr">
        <is>
          <t>实现图片模型 fallback</t>
        </is>
      </c>
      <c r="F42" s="15" t="inlineStr">
        <is>
          <t>主模型失败后按配置切换备用模型。</t>
        </is>
      </c>
      <c r="G42" s="15" t="inlineStr">
        <is>
          <t>后端/AI 工程</t>
        </is>
      </c>
      <c r="H42" s="39" t="n">
        <v>46163</v>
      </c>
      <c r="I42" s="39" t="n">
        <v>46165</v>
      </c>
      <c r="J42" s="15" t="inlineStr">
        <is>
          <t>已完成</t>
        </is>
      </c>
      <c r="K42" s="15" t="inlineStr">
        <is>
          <t>P1-011</t>
        </is>
      </c>
      <c r="L42" s="15" t="inlineStr">
        <is>
          <t>连续失败自动切换</t>
        </is>
      </c>
      <c r="M42" s="15" t="inlineStr">
        <is>
          <t>fallback 逻辑</t>
        </is>
      </c>
      <c r="N42" s="15" t="inlineStr">
        <is>
          <t>Codex 已实现仓库内实现与本地自动化验证；生产外部调用需配置对应平台权限/密钥。更新日期 2026-05-06</t>
        </is>
      </c>
    </row>
    <row r="43">
      <c r="A43" s="15" t="inlineStr">
        <is>
          <t>P1-013</t>
        </is>
      </c>
      <c r="B43" s="15" t="inlineStr">
        <is>
          <t>P1</t>
        </is>
      </c>
      <c r="C43" s="15" t="inlineStr">
        <is>
          <t>图片生成</t>
        </is>
      </c>
      <c r="D43" s="15" t="inlineStr">
        <is>
          <t>参考图</t>
        </is>
      </c>
      <c r="E43" s="15" t="inlineStr">
        <is>
          <t>实现飞书附件下载与转存</t>
        </is>
      </c>
      <c r="F43" s="15" t="inlineStr">
        <is>
          <t>参考图先转存对象存储，再传模型。</t>
        </is>
      </c>
      <c r="G43" s="15" t="inlineStr">
        <is>
          <t>后端</t>
        </is>
      </c>
      <c r="H43" s="39" t="n">
        <v>46161</v>
      </c>
      <c r="I43" s="39" t="n">
        <v>46164</v>
      </c>
      <c r="J43" s="15" t="inlineStr">
        <is>
          <t>已完成</t>
        </is>
      </c>
      <c r="K43" s="15" t="inlineStr">
        <is>
          <t>P0-017,P0-027</t>
        </is>
      </c>
      <c r="L43" s="15" t="inlineStr">
        <is>
          <t>参考图可用于模型输入</t>
        </is>
      </c>
      <c r="M43" s="15" t="inlineStr">
        <is>
          <t>AssetService</t>
        </is>
      </c>
      <c r="N43" s="15" t="inlineStr">
        <is>
          <t>Codex 已实现仓库内实现与本地自动化验证；生产外部调用需配置对应平台权限/密钥。更新日期 2026-05-06</t>
        </is>
      </c>
    </row>
    <row r="44">
      <c r="A44" s="15" t="inlineStr">
        <is>
          <t>P1-014</t>
        </is>
      </c>
      <c r="B44" s="15" t="inlineStr">
        <is>
          <t>P1</t>
        </is>
      </c>
      <c r="C44" s="15" t="inlineStr">
        <is>
          <t>图片生成</t>
        </is>
      </c>
      <c r="D44" s="15" t="inlineStr">
        <is>
          <t>对象存储</t>
        </is>
      </c>
      <c r="E44" s="15" t="inlineStr">
        <is>
          <t>实现图片保存对象存储</t>
        </is>
      </c>
      <c r="F44" s="15" t="inlineStr">
        <is>
          <t>生成结果保存为标准路径并写入 assets。</t>
        </is>
      </c>
      <c r="G44" s="15" t="inlineStr">
        <is>
          <t>后端</t>
        </is>
      </c>
      <c r="H44" s="39" t="n">
        <v>46161</v>
      </c>
      <c r="I44" s="39" t="n">
        <v>46163</v>
      </c>
      <c r="J44" s="15" t="inlineStr">
        <is>
          <t>已完成</t>
        </is>
      </c>
      <c r="K44" s="15" t="inlineStr">
        <is>
          <t>P0-027</t>
        </is>
      </c>
      <c r="L44" s="15" t="inlineStr">
        <is>
          <t>资产路径正确</t>
        </is>
      </c>
      <c r="M44" s="15" t="inlineStr">
        <is>
          <t>AssetService</t>
        </is>
      </c>
      <c r="N44" s="15" t="inlineStr">
        <is>
          <t>Codex 已实现仓库内实现与本地自动化验证；生产外部调用需配置对应平台权限/密钥。更新日期 2026-05-06</t>
        </is>
      </c>
    </row>
    <row r="45">
      <c r="A45" s="15" t="inlineStr">
        <is>
          <t>P1-015</t>
        </is>
      </c>
      <c r="B45" s="15" t="inlineStr">
        <is>
          <t>P1</t>
        </is>
      </c>
      <c r="C45" s="15" t="inlineStr">
        <is>
          <t>图片生成</t>
        </is>
      </c>
      <c r="D45" s="15" t="inlineStr">
        <is>
          <t>任务拆分</t>
        </is>
      </c>
      <c r="E45" s="15" t="inlineStr">
        <is>
          <t>实现帧任务拆分</t>
        </is>
      </c>
      <c r="F45" s="15" t="inlineStr">
        <is>
          <t>每镜头拆成 first、last、keyframe_1..N。</t>
        </is>
      </c>
      <c r="G45" s="15" t="inlineStr">
        <is>
          <t>后端</t>
        </is>
      </c>
      <c r="H45" s="39" t="n">
        <v>46164</v>
      </c>
      <c r="I45" s="39" t="n">
        <v>46166</v>
      </c>
      <c r="J45" s="15" t="inlineStr">
        <is>
          <t>已完成</t>
        </is>
      </c>
      <c r="K45" s="15" t="inlineStr">
        <is>
          <t>P1-011</t>
        </is>
      </c>
      <c r="L45" s="15" t="inlineStr">
        <is>
          <t>任务数量正确</t>
        </is>
      </c>
      <c r="M45" s="15" t="inlineStr">
        <is>
          <t>FrameService</t>
        </is>
      </c>
      <c r="N45" s="15" t="inlineStr">
        <is>
          <t>Codex 已实现仓库内实现与本地自动化验证；生产外部调用需配置对应平台权限/密钥。更新日期 2026-05-06</t>
        </is>
      </c>
    </row>
    <row r="46">
      <c r="A46" s="15" t="inlineStr">
        <is>
          <t>P1-016</t>
        </is>
      </c>
      <c r="B46" s="15" t="inlineStr">
        <is>
          <t>P1</t>
        </is>
      </c>
      <c r="C46" s="15" t="inlineStr">
        <is>
          <t>图片生成</t>
        </is>
      </c>
      <c r="D46" s="15" t="inlineStr">
        <is>
          <t>并行任务</t>
        </is>
      </c>
      <c r="E46" s="15" t="inlineStr">
        <is>
          <t>实现 image.generate.queue Worker</t>
        </is>
      </c>
      <c r="F46" s="15" t="inlineStr">
        <is>
          <t>并发处理多个镜头帧图。</t>
        </is>
      </c>
      <c r="G46" s="15" t="inlineStr">
        <is>
          <t>后端/AI 工程</t>
        </is>
      </c>
      <c r="H46" s="39" t="n">
        <v>46165</v>
      </c>
      <c r="I46" s="39" t="n">
        <v>46168</v>
      </c>
      <c r="J46" s="15" t="inlineStr">
        <is>
          <t>已完成</t>
        </is>
      </c>
      <c r="K46" s="15" t="inlineStr">
        <is>
          <t>P1-015,P0-004</t>
        </is>
      </c>
      <c r="L46" s="15" t="inlineStr">
        <is>
          <t>并发生成并保存</t>
        </is>
      </c>
      <c r="M46" s="15" t="inlineStr">
        <is>
          <t>ImageWorker</t>
        </is>
      </c>
      <c r="N46" s="15" t="inlineStr">
        <is>
          <t>Codex 已实现仓库内实现与本地自动化验证；生产外部调用需配置对应平台权限/密钥。更新日期 2026-05-06</t>
        </is>
      </c>
    </row>
    <row r="47">
      <c r="A47" s="15" t="inlineStr">
        <is>
          <t>P1-017</t>
        </is>
      </c>
      <c r="B47" s="15" t="inlineStr">
        <is>
          <t>P1</t>
        </is>
      </c>
      <c r="C47" s="15" t="inlineStr">
        <is>
          <t>图片生成</t>
        </is>
      </c>
      <c r="D47" s="15" t="inlineStr">
        <is>
          <t>回填</t>
        </is>
      </c>
      <c r="E47" s="15" t="inlineStr">
        <is>
          <t>图片结果回填飞书表</t>
        </is>
      </c>
      <c r="F47" s="15" t="inlineStr">
        <is>
          <t>关键帧图、首帧图、尾帧图、状态。</t>
        </is>
      </c>
      <c r="G47" s="15" t="inlineStr">
        <is>
          <t>后端/飞书集成</t>
        </is>
      </c>
      <c r="H47" s="39" t="n">
        <v>46167</v>
      </c>
      <c r="I47" s="39" t="n">
        <v>46169</v>
      </c>
      <c r="J47" s="15" t="inlineStr">
        <is>
          <t>已完成</t>
        </is>
      </c>
      <c r="K47" s="15" t="inlineStr">
        <is>
          <t>P1-016,P0-016</t>
        </is>
      </c>
      <c r="L47" s="15" t="inlineStr">
        <is>
          <t>表格可预览图片</t>
        </is>
      </c>
      <c r="M47" s="15" t="inlineStr">
        <is>
          <t>回填任务</t>
        </is>
      </c>
      <c r="N47" s="15" t="inlineStr">
        <is>
          <t>Codex 已实现仓库内实现与本地自动化验证；生产外部调用需配置对应平台权限/密钥。更新日期 2026-05-06</t>
        </is>
      </c>
    </row>
    <row r="48">
      <c r="A48" s="15" t="inlineStr">
        <is>
          <t>P1-018</t>
        </is>
      </c>
      <c r="B48" s="15" t="inlineStr">
        <is>
          <t>P1</t>
        </is>
      </c>
      <c r="C48" s="15" t="inlineStr">
        <is>
          <t>图片生成</t>
        </is>
      </c>
      <c r="D48" s="15" t="inlineStr">
        <is>
          <t>幂等</t>
        </is>
      </c>
      <c r="E48" s="15" t="inlineStr">
        <is>
          <t>实现图片任务幂等键</t>
        </is>
      </c>
      <c r="F48" s="15" t="inlineStr">
        <is>
          <t>防重复点击造成重复扣费。</t>
        </is>
      </c>
      <c r="G48" s="15" t="inlineStr">
        <is>
          <t>后端</t>
        </is>
      </c>
      <c r="H48" s="39" t="n">
        <v>46165</v>
      </c>
      <c r="I48" s="39" t="n">
        <v>46167</v>
      </c>
      <c r="J48" s="15" t="inlineStr">
        <is>
          <t>已完成</t>
        </is>
      </c>
      <c r="K48" s="15" t="inlineStr">
        <is>
          <t>P1-015,P0-026</t>
        </is>
      </c>
      <c r="L48" s="15" t="inlineStr">
        <is>
          <t>相同版本不重复创建</t>
        </is>
      </c>
      <c r="M48" s="15" t="inlineStr">
        <is>
          <t>幂等逻辑</t>
        </is>
      </c>
      <c r="N48" s="15" t="inlineStr">
        <is>
          <t>Codex 已实现仓库内实现与本地自动化验证；生产外部调用需配置对应平台权限/密钥。更新日期 2026-05-06</t>
        </is>
      </c>
    </row>
    <row r="49">
      <c r="A49" s="15" t="inlineStr">
        <is>
          <t>P1-019</t>
        </is>
      </c>
      <c r="B49" s="15" t="inlineStr">
        <is>
          <t>P1</t>
        </is>
      </c>
      <c r="C49" s="15" t="inlineStr">
        <is>
          <t>图片生成</t>
        </is>
      </c>
      <c r="D49" s="15" t="inlineStr">
        <is>
          <t>失败处理</t>
        </is>
      </c>
      <c r="E49" s="15" t="inlineStr">
        <is>
          <t>实现部分失败和重试</t>
        </is>
      </c>
      <c r="F49" s="15" t="inlineStr">
        <is>
          <t>部分帧失败时保留成功结果，可单独重试。</t>
        </is>
      </c>
      <c r="G49" s="15" t="inlineStr">
        <is>
          <t>后端</t>
        </is>
      </c>
      <c r="H49" s="39" t="n">
        <v>46167</v>
      </c>
      <c r="I49" s="39" t="n">
        <v>46169</v>
      </c>
      <c r="J49" s="15" t="inlineStr">
        <is>
          <t>已完成</t>
        </is>
      </c>
      <c r="K49" s="15" t="inlineStr">
        <is>
          <t>P1-016</t>
        </is>
      </c>
      <c r="L49" s="15" t="inlineStr">
        <is>
          <t>失败可恢复</t>
        </is>
      </c>
      <c r="M49" s="15" t="inlineStr">
        <is>
          <t>重试逻辑</t>
        </is>
      </c>
      <c r="N49" s="15" t="inlineStr">
        <is>
          <t>Codex 已实现仓库内实现与本地自动化验证；生产外部调用需配置对应平台权限/密钥。更新日期 2026-05-06</t>
        </is>
      </c>
    </row>
    <row r="50">
      <c r="A50" s="15" t="inlineStr">
        <is>
          <t>P1-020</t>
        </is>
      </c>
      <c r="B50" s="15" t="inlineStr">
        <is>
          <t>P1</t>
        </is>
      </c>
      <c r="C50" s="15" t="inlineStr">
        <is>
          <t>审核</t>
        </is>
      </c>
      <c r="D50" s="15" t="inlineStr">
        <is>
          <t>状态机</t>
        </is>
      </c>
      <c r="E50" s="15" t="inlineStr">
        <is>
          <t>实现 StateMachineService</t>
        </is>
      </c>
      <c r="F50" s="15" t="inlineStr">
        <is>
          <t>限制非法状态流转。</t>
        </is>
      </c>
      <c r="G50" s="15" t="inlineStr">
        <is>
          <t>后端</t>
        </is>
      </c>
      <c r="H50" s="39" t="n">
        <v>46164</v>
      </c>
      <c r="I50" s="39" t="n">
        <v>46166</v>
      </c>
      <c r="J50" s="15" t="inlineStr">
        <is>
          <t>已完成</t>
        </is>
      </c>
      <c r="K50" s="15" t="inlineStr">
        <is>
          <t>P0-025</t>
        </is>
      </c>
      <c r="L50" s="15" t="inlineStr">
        <is>
          <t>非法状态被拒绝</t>
        </is>
      </c>
      <c r="M50" s="15" t="inlineStr">
        <is>
          <t>状态机</t>
        </is>
      </c>
      <c r="N50" s="15" t="inlineStr">
        <is>
          <t>Codex 已实现仓库内实现与本地自动化验证；生产外部调用需配置对应平台权限/密钥。更新日期 2026-05-06</t>
        </is>
      </c>
    </row>
    <row r="51">
      <c r="A51" s="15" t="inlineStr">
        <is>
          <t>P1-021</t>
        </is>
      </c>
      <c r="B51" s="15" t="inlineStr">
        <is>
          <t>P1</t>
        </is>
      </c>
      <c r="C51" s="15" t="inlineStr">
        <is>
          <t>审核</t>
        </is>
      </c>
      <c r="D51" s="15" t="inlineStr">
        <is>
          <t>审核同步</t>
        </is>
      </c>
      <c r="E51" s="15" t="inlineStr">
        <is>
          <t>同步飞书审核状态</t>
        </is>
      </c>
      <c r="F51" s="15" t="inlineStr">
        <is>
          <t>读取通过/驳回/驳回原因。</t>
        </is>
      </c>
      <c r="G51" s="15" t="inlineStr">
        <is>
          <t>后端/飞书集成</t>
        </is>
      </c>
      <c r="H51" s="39" t="n">
        <v>46167</v>
      </c>
      <c r="I51" s="39" t="n">
        <v>46169</v>
      </c>
      <c r="J51" s="15" t="inlineStr">
        <is>
          <t>已完成</t>
        </is>
      </c>
      <c r="K51" s="15" t="inlineStr">
        <is>
          <t>P0-015,P1-020</t>
        </is>
      </c>
      <c r="L51" s="15" t="inlineStr">
        <is>
          <t>审核状态进入 DB</t>
        </is>
      </c>
      <c r="M51" s="15" t="inlineStr">
        <is>
          <t>审核同步</t>
        </is>
      </c>
      <c r="N51" s="15" t="inlineStr">
        <is>
          <t>Codex 已实现仓库内实现与本地自动化验证；生产外部调用需配置对应平台权限/密钥。更新日期 2026-05-06</t>
        </is>
      </c>
    </row>
    <row r="52">
      <c r="A52" s="15" t="inlineStr">
        <is>
          <t>P1-022</t>
        </is>
      </c>
      <c r="B52" s="15" t="inlineStr">
        <is>
          <t>P1</t>
        </is>
      </c>
      <c r="C52" s="15" t="inlineStr">
        <is>
          <t>审核</t>
        </is>
      </c>
      <c r="D52" s="15" t="inlineStr">
        <is>
          <t>通过校验</t>
        </is>
      </c>
      <c r="E52" s="15" t="inlineStr">
        <is>
          <t>生成视频前资产校验</t>
        </is>
      </c>
      <c r="F52" s="15" t="inlineStr">
        <is>
          <t>首帧、尾帧、关键帧、视频 Prompt、版本一致。</t>
        </is>
      </c>
      <c r="G52" s="15" t="inlineStr">
        <is>
          <t>后端</t>
        </is>
      </c>
      <c r="H52" s="39" t="n">
        <v>46168</v>
      </c>
      <c r="I52" s="39" t="n">
        <v>46170</v>
      </c>
      <c r="J52" s="15" t="inlineStr">
        <is>
          <t>已完成</t>
        </is>
      </c>
      <c r="K52" s="15" t="inlineStr">
        <is>
          <t>P1-021,P1-017</t>
        </is>
      </c>
      <c r="L52" s="15" t="inlineStr">
        <is>
          <t>缺失项不调用视频 API</t>
        </is>
      </c>
      <c r="M52" s="15" t="inlineStr">
        <is>
          <t>校验逻辑</t>
        </is>
      </c>
      <c r="N52" s="15" t="inlineStr">
        <is>
          <t>Codex 已实现仓库内实现与本地自动化验证；生产外部调用需配置对应平台权限/密钥。更新日期 2026-05-06</t>
        </is>
      </c>
    </row>
    <row r="53">
      <c r="A53" s="15" t="inlineStr">
        <is>
          <t>P1-023</t>
        </is>
      </c>
      <c r="B53" s="15" t="inlineStr">
        <is>
          <t>P1</t>
        </is>
      </c>
      <c r="C53" s="15" t="inlineStr">
        <is>
          <t>审核</t>
        </is>
      </c>
      <c r="D53" s="15" t="inlineStr">
        <is>
          <t>驳回流程</t>
        </is>
      </c>
      <c r="E53" s="15" t="inlineStr">
        <is>
          <t>实现驳回后重生成入口</t>
        </is>
      </c>
      <c r="F53" s="15" t="inlineStr">
        <is>
          <t>驳回原因保存，状态回到可重生成。</t>
        </is>
      </c>
      <c r="G53" s="15" t="inlineStr">
        <is>
          <t>后端/飞书集成</t>
        </is>
      </c>
      <c r="H53" s="39" t="n">
        <v>46168</v>
      </c>
      <c r="I53" s="39" t="n">
        <v>46170</v>
      </c>
      <c r="J53" s="15" t="inlineStr">
        <is>
          <t>已完成</t>
        </is>
      </c>
      <c r="K53" s="15" t="inlineStr">
        <is>
          <t>P1-021</t>
        </is>
      </c>
      <c r="L53" s="15" t="inlineStr">
        <is>
          <t>驳回后可重试</t>
        </is>
      </c>
      <c r="M53" s="15" t="inlineStr">
        <is>
          <t>审核流程</t>
        </is>
      </c>
      <c r="N53" s="15" t="inlineStr">
        <is>
          <t>Codex 已实现仓库内实现与本地自动化验证；生产外部调用需配置对应平台权限/密钥。更新日期 2026-05-06</t>
        </is>
      </c>
    </row>
    <row r="54">
      <c r="A54" s="15" t="inlineStr">
        <is>
          <t>P1-024</t>
        </is>
      </c>
      <c r="B54" s="15" t="inlineStr">
        <is>
          <t>P1</t>
        </is>
      </c>
      <c r="C54" s="15" t="inlineStr">
        <is>
          <t>审核</t>
        </is>
      </c>
      <c r="D54" s="15" t="inlineStr">
        <is>
          <t>审核卡片</t>
        </is>
      </c>
      <c r="E54" s="15" t="inlineStr">
        <is>
          <t>设计待审核提醒卡片</t>
        </is>
      </c>
      <c r="F54" s="15" t="inlineStr">
        <is>
          <t>提供打开表格、通过、驳回、重试入口。</t>
        </is>
      </c>
      <c r="G54" s="15" t="inlineStr">
        <is>
          <t>前端/飞书集成</t>
        </is>
      </c>
      <c r="H54" s="39" t="n">
        <v>46167</v>
      </c>
      <c r="I54" s="39" t="n">
        <v>46169</v>
      </c>
      <c r="J54" s="15" t="inlineStr">
        <is>
          <t>已完成</t>
        </is>
      </c>
      <c r="K54" s="15" t="inlineStr">
        <is>
          <t>P0-013,P1-021</t>
        </is>
      </c>
      <c r="L54" s="15" t="inlineStr">
        <is>
          <t>提醒卡片可用</t>
        </is>
      </c>
      <c r="M54" s="15" t="inlineStr">
        <is>
          <t>卡片 JSON</t>
        </is>
      </c>
      <c r="N54" s="15" t="inlineStr">
        <is>
          <t>Codex 已实现仓库内实现与本地自动化验证；生产外部调用需配置对应平台权限/密钥。更新日期 2026-05-06</t>
        </is>
      </c>
    </row>
    <row r="55">
      <c r="A55" s="15" t="inlineStr">
        <is>
          <t>P1-025</t>
        </is>
      </c>
      <c r="B55" s="15" t="inlineStr">
        <is>
          <t>P1</t>
        </is>
      </c>
      <c r="C55" s="15" t="inlineStr">
        <is>
          <t>视频生成</t>
        </is>
      </c>
      <c r="D55" s="15" t="inlineStr">
        <is>
          <t>接口</t>
        </is>
      </c>
      <c r="E55" s="15" t="inlineStr">
        <is>
          <t>定义 VideoModelProvider 接口</t>
        </is>
      </c>
      <c r="F55" s="15" t="inlineStr">
        <is>
          <t>create_video_task、get_video_task、cancel_video_task。</t>
        </is>
      </c>
      <c r="G55" s="15" t="inlineStr">
        <is>
          <t>AI 工程</t>
        </is>
      </c>
      <c r="H55" s="39" t="n">
        <v>46167</v>
      </c>
      <c r="I55" s="39" t="n">
        <v>46168</v>
      </c>
      <c r="J55" s="15" t="inlineStr">
        <is>
          <t>已完成</t>
        </is>
      </c>
      <c r="K55" s="15" t="str"/>
      <c r="L55" s="15" t="inlineStr">
        <is>
          <t>接口定义</t>
        </is>
      </c>
      <c r="M55" s="15" t="inlineStr">
        <is>
          <t>Provider Protocol</t>
        </is>
      </c>
      <c r="N55" s="15" t="inlineStr">
        <is>
          <t>Codex 已实现仓库内实现与本地自动化验证；生产外部调用需配置对应平台权限/密钥。更新日期 2026-05-06</t>
        </is>
      </c>
    </row>
    <row r="56">
      <c r="A56" s="15" t="inlineStr">
        <is>
          <t>P1-026</t>
        </is>
      </c>
      <c r="B56" s="15" t="inlineStr">
        <is>
          <t>P1</t>
        </is>
      </c>
      <c r="C56" s="15" t="inlineStr">
        <is>
          <t>视频生成</t>
        </is>
      </c>
      <c r="D56" s="15" t="inlineStr">
        <is>
          <t>Seedance 2.0</t>
        </is>
      </c>
      <c r="E56" s="15" t="inlineStr">
        <is>
          <t>实现 Seedance20VideoProvider 鉴权</t>
        </is>
      </c>
      <c r="F56" s="15" t="inlineStr">
        <is>
          <t>支持 API Key、endpoint、模型 ID 配置。</t>
        </is>
      </c>
      <c r="G56" s="15" t="inlineStr">
        <is>
          <t>AI 工程</t>
        </is>
      </c>
      <c r="H56" s="39" t="n">
        <v>46168</v>
      </c>
      <c r="I56" s="39" t="n">
        <v>46171</v>
      </c>
      <c r="J56" s="15" t="inlineStr">
        <is>
          <t>已完成</t>
        </is>
      </c>
      <c r="K56" s="15" t="inlineStr">
        <is>
          <t>P1-025,P0-005</t>
        </is>
      </c>
      <c r="L56" s="15" t="inlineStr">
        <is>
          <t>鉴权和 mock 测试通过</t>
        </is>
      </c>
      <c r="M56" s="15" t="inlineStr">
        <is>
          <t>Provider Adapter</t>
        </is>
      </c>
      <c r="N56" s="15" t="inlineStr">
        <is>
          <t>Codex 已实现仓库内实现与本地自动化验证；生产外部调用需配置对应平台权限/密钥。更新日期 2026-05-06</t>
        </is>
      </c>
    </row>
    <row r="57">
      <c r="A57" s="15" t="inlineStr">
        <is>
          <t>P1-027</t>
        </is>
      </c>
      <c r="B57" s="15" t="inlineStr">
        <is>
          <t>P1</t>
        </is>
      </c>
      <c r="C57" s="15" t="inlineStr">
        <is>
          <t>视频生成</t>
        </is>
      </c>
      <c r="D57" s="15" t="inlineStr">
        <is>
          <t>请求组装</t>
        </is>
      </c>
      <c r="E57" s="15" t="inlineStr">
        <is>
          <t>组装首帧+尾帧+关键帧+Prompt 请求</t>
        </is>
      </c>
      <c r="F57" s="15" t="inlineStr">
        <is>
          <t>按 Seedance API 参数构造 payload。</t>
        </is>
      </c>
      <c r="G57" s="15" t="inlineStr">
        <is>
          <t>AI 工程/后端</t>
        </is>
      </c>
      <c r="H57" s="39" t="n">
        <v>46169</v>
      </c>
      <c r="I57" s="39" t="n">
        <v>46172</v>
      </c>
      <c r="J57" s="15" t="inlineStr">
        <is>
          <t>已完成</t>
        </is>
      </c>
      <c r="K57" s="15" t="inlineStr">
        <is>
          <t>P1-026,P1-022</t>
        </is>
      </c>
      <c r="L57" s="15" t="inlineStr">
        <is>
          <t>请求 payload 正确</t>
        </is>
      </c>
      <c r="M57" s="15" t="inlineStr">
        <is>
          <t>VideoService</t>
        </is>
      </c>
      <c r="N57" s="15" t="inlineStr">
        <is>
          <t>Codex 已实现仓库内实现与本地自动化验证；生产外部调用需配置对应平台权限/密钥。更新日期 2026-05-06</t>
        </is>
      </c>
    </row>
    <row r="58">
      <c r="A58" s="15" t="inlineStr">
        <is>
          <t>P1-028</t>
        </is>
      </c>
      <c r="B58" s="15" t="inlineStr">
        <is>
          <t>P1</t>
        </is>
      </c>
      <c r="C58" s="15" t="inlineStr">
        <is>
          <t>视频生成</t>
        </is>
      </c>
      <c r="D58" s="15" t="inlineStr">
        <is>
          <t>任务创建</t>
        </is>
      </c>
      <c r="E58" s="15" t="inlineStr">
        <is>
          <t>审核通过后创建视频任务</t>
        </is>
      </c>
      <c r="F58" s="15" t="inlineStr">
        <is>
          <t>保存 provider_task_id 和 job 状态。</t>
        </is>
      </c>
      <c r="G58" s="15" t="inlineStr">
        <is>
          <t>后端/AI 工程</t>
        </is>
      </c>
      <c r="H58" s="39" t="n">
        <v>46171</v>
      </c>
      <c r="I58" s="39" t="n">
        <v>46173</v>
      </c>
      <c r="J58" s="15" t="inlineStr">
        <is>
          <t>已完成</t>
        </is>
      </c>
      <c r="K58" s="15" t="inlineStr">
        <is>
          <t>P1-027,P0-026</t>
        </is>
      </c>
      <c r="L58" s="15" t="inlineStr">
        <is>
          <t>任务进入生成中</t>
        </is>
      </c>
      <c r="M58" s="15" t="inlineStr">
        <is>
          <t>VideoWorker</t>
        </is>
      </c>
      <c r="N58" s="15" t="inlineStr">
        <is>
          <t>Codex 已实现仓库内实现与本地自动化验证；生产外部调用需配置对应平台权限/密钥。更新日期 2026-05-06</t>
        </is>
      </c>
    </row>
    <row r="59">
      <c r="A59" s="15" t="inlineStr">
        <is>
          <t>P1-029</t>
        </is>
      </c>
      <c r="B59" s="15" t="inlineStr">
        <is>
          <t>P1</t>
        </is>
      </c>
      <c r="C59" s="15" t="inlineStr">
        <is>
          <t>视频生成</t>
        </is>
      </c>
      <c r="D59" s="15" t="inlineStr">
        <is>
          <t>轮询</t>
        </is>
      </c>
      <c r="E59" s="15" t="inlineStr">
        <is>
          <t>实现 Seedance 任务轮询</t>
        </is>
      </c>
      <c r="F59" s="15" t="inlineStr">
        <is>
          <t>完成/失败/运行中状态解析。</t>
        </is>
      </c>
      <c r="G59" s="15" t="inlineStr">
        <is>
          <t>后端/AI 工程</t>
        </is>
      </c>
      <c r="H59" s="39" t="n">
        <v>46172</v>
      </c>
      <c r="I59" s="39" t="n">
        <v>46175</v>
      </c>
      <c r="J59" s="15" t="inlineStr">
        <is>
          <t>已完成</t>
        </is>
      </c>
      <c r="K59" s="15" t="inlineStr">
        <is>
          <t>P1-028</t>
        </is>
      </c>
      <c r="L59" s="15" t="inlineStr">
        <is>
          <t>状态可更新</t>
        </is>
      </c>
      <c r="M59" s="15" t="inlineStr">
        <is>
          <t>Polling Worker</t>
        </is>
      </c>
      <c r="N59" s="15" t="inlineStr">
        <is>
          <t>Codex 已实现仓库内实现与本地自动化验证；生产外部调用需配置对应平台权限/密钥。更新日期 2026-05-06</t>
        </is>
      </c>
    </row>
    <row r="60">
      <c r="A60" s="15" t="inlineStr">
        <is>
          <t>P1-030</t>
        </is>
      </c>
      <c r="B60" s="15" t="inlineStr">
        <is>
          <t>P1</t>
        </is>
      </c>
      <c r="C60" s="15" t="inlineStr">
        <is>
          <t>视频生成</t>
        </is>
      </c>
      <c r="D60" s="15" t="inlineStr">
        <is>
          <t>下载保存</t>
        </is>
      </c>
      <c r="E60" s="15" t="inlineStr">
        <is>
          <t>下载视频并保存对象存储</t>
        </is>
      </c>
      <c r="F60" s="15" t="inlineStr">
        <is>
          <t>写入 assets，生成可访问链接。</t>
        </is>
      </c>
      <c r="G60" s="15" t="inlineStr">
        <is>
          <t>后端</t>
        </is>
      </c>
      <c r="H60" s="39" t="n">
        <v>46173</v>
      </c>
      <c r="I60" s="39" t="n">
        <v>46175</v>
      </c>
      <c r="J60" s="15" t="inlineStr">
        <is>
          <t>已完成</t>
        </is>
      </c>
      <c r="K60" s="15" t="inlineStr">
        <is>
          <t>P1-029,P1-014</t>
        </is>
      </c>
      <c r="L60" s="15" t="inlineStr">
        <is>
          <t>视频文件可访问</t>
        </is>
      </c>
      <c r="M60" s="15" t="inlineStr">
        <is>
          <t>AssetService</t>
        </is>
      </c>
      <c r="N60" s="15" t="inlineStr">
        <is>
          <t>Codex 已实现仓库内实现与本地自动化验证；生产外部调用需配置对应平台权限/密钥。更新日期 2026-05-06</t>
        </is>
      </c>
    </row>
    <row r="61">
      <c r="A61" s="15" t="inlineStr">
        <is>
          <t>P1-031</t>
        </is>
      </c>
      <c r="B61" s="15" t="inlineStr">
        <is>
          <t>P1</t>
        </is>
      </c>
      <c r="C61" s="15" t="inlineStr">
        <is>
          <t>视频生成</t>
        </is>
      </c>
      <c r="D61" s="15" t="inlineStr">
        <is>
          <t>回填</t>
        </is>
      </c>
      <c r="E61" s="15" t="inlineStr">
        <is>
          <t>视频链接回填飞书</t>
        </is>
      </c>
      <c r="F61" s="15" t="inlineStr">
        <is>
          <t>状态变成待验收，通知用户。</t>
        </is>
      </c>
      <c r="G61" s="15" t="inlineStr">
        <is>
          <t>后端/飞书集成</t>
        </is>
      </c>
      <c r="H61" s="39" t="n">
        <v>46174</v>
      </c>
      <c r="I61" s="39" t="n">
        <v>46176</v>
      </c>
      <c r="J61" s="15" t="inlineStr">
        <is>
          <t>已完成</t>
        </is>
      </c>
      <c r="K61" s="15" t="inlineStr">
        <is>
          <t>P1-030,P0-016</t>
        </is>
      </c>
      <c r="L61" s="15" t="inlineStr">
        <is>
          <t>表格可打开视频</t>
        </is>
      </c>
      <c r="M61" s="15" t="inlineStr">
        <is>
          <t>回填任务</t>
        </is>
      </c>
      <c r="N61" s="15" t="inlineStr">
        <is>
          <t>Codex 已实现仓库内实现与本地自动化验证；生产外部调用需配置对应平台权限/密钥。更新日期 2026-05-06</t>
        </is>
      </c>
    </row>
    <row r="62">
      <c r="A62" s="15" t="inlineStr">
        <is>
          <t>P1-032</t>
        </is>
      </c>
      <c r="B62" s="15" t="inlineStr">
        <is>
          <t>P1</t>
        </is>
      </c>
      <c r="C62" s="15" t="inlineStr">
        <is>
          <t>视频生成</t>
        </is>
      </c>
      <c r="D62" s="15" t="inlineStr">
        <is>
          <t>失败重试</t>
        </is>
      </c>
      <c r="E62" s="15" t="inlineStr">
        <is>
          <t>实现视频失败重试和取消</t>
        </is>
      </c>
      <c r="F62" s="15" t="inlineStr">
        <is>
          <t>失败状态不覆盖已验收版本。</t>
        </is>
      </c>
      <c r="G62" s="15" t="inlineStr">
        <is>
          <t>后端</t>
        </is>
      </c>
      <c r="H62" s="39" t="n">
        <v>46175</v>
      </c>
      <c r="I62" s="39" t="n">
        <v>46177</v>
      </c>
      <c r="J62" s="15" t="inlineStr">
        <is>
          <t>已完成</t>
        </is>
      </c>
      <c r="K62" s="15" t="inlineStr">
        <is>
          <t>P1-029</t>
        </is>
      </c>
      <c r="L62" s="15" t="inlineStr">
        <is>
          <t>视频失败可恢复</t>
        </is>
      </c>
      <c r="M62" s="15" t="inlineStr">
        <is>
          <t>重试/取消接口</t>
        </is>
      </c>
      <c r="N62" s="15" t="inlineStr">
        <is>
          <t>Codex 已实现仓库内实现与本地自动化验证；生产外部调用需配置对应平台权限/密钥。更新日期 2026-05-06</t>
        </is>
      </c>
    </row>
    <row r="63">
      <c r="A63" s="15" t="inlineStr">
        <is>
          <t>P1-033</t>
        </is>
      </c>
      <c r="B63" s="15" t="inlineStr">
        <is>
          <t>P1</t>
        </is>
      </c>
      <c r="C63" s="15" t="inlineStr">
        <is>
          <t>归档</t>
        </is>
      </c>
      <c r="D63" s="15" t="inlineStr">
        <is>
          <t>满意度监听</t>
        </is>
      </c>
      <c r="E63" s="15" t="inlineStr">
        <is>
          <t>监听/同步满意度字段</t>
        </is>
      </c>
      <c r="F63" s="15" t="inlineStr">
        <is>
          <t>满意/不满意触发 archive job。</t>
        </is>
      </c>
      <c r="G63" s="15" t="inlineStr">
        <is>
          <t>后端/飞书集成</t>
        </is>
      </c>
      <c r="H63" s="39" t="n">
        <v>46174</v>
      </c>
      <c r="I63" s="39" t="n">
        <v>46176</v>
      </c>
      <c r="J63" s="15" t="inlineStr">
        <is>
          <t>已完成</t>
        </is>
      </c>
      <c r="K63" s="15" t="inlineStr">
        <is>
          <t>P0-015,P1-031</t>
        </is>
      </c>
      <c r="L63" s="15" t="inlineStr">
        <is>
          <t>满意度变化可捕捉</t>
        </is>
      </c>
      <c r="M63" s="15" t="inlineStr">
        <is>
          <t>Archive Trigger</t>
        </is>
      </c>
      <c r="N63" s="15" t="inlineStr">
        <is>
          <t>Codex 已实现仓库内实现与本地自动化验证；生产外部调用需配置对应平台权限/密钥。更新日期 2026-05-06</t>
        </is>
      </c>
    </row>
    <row r="64">
      <c r="A64" s="15" t="inlineStr">
        <is>
          <t>P1-034</t>
        </is>
      </c>
      <c r="B64" s="15" t="inlineStr">
        <is>
          <t>P1</t>
        </is>
      </c>
      <c r="C64" s="15" t="inlineStr">
        <is>
          <t>归档</t>
        </is>
      </c>
      <c r="D64" s="15" t="inlineStr">
        <is>
          <t>对象存储归档</t>
        </is>
      </c>
      <c r="E64" s="15" t="inlineStr">
        <is>
          <t>实现满意/不满意目录复制或移动</t>
        </is>
      </c>
      <c r="F64" s="15" t="inlineStr">
        <is>
          <t>保留原始视频，归档副本按命名规范生成。</t>
        </is>
      </c>
      <c r="G64" s="15" t="inlineStr">
        <is>
          <t>后端</t>
        </is>
      </c>
      <c r="H64" s="39" t="n">
        <v>46175</v>
      </c>
      <c r="I64" s="39" t="n">
        <v>46177</v>
      </c>
      <c r="J64" s="15" t="inlineStr">
        <is>
          <t>已完成</t>
        </is>
      </c>
      <c r="K64" s="15" t="inlineStr">
        <is>
          <t>P1-033,P1-030</t>
        </is>
      </c>
      <c r="L64" s="15" t="inlineStr">
        <is>
          <t>归档路径正确</t>
        </is>
      </c>
      <c r="M64" s="15" t="inlineStr">
        <is>
          <t>ArchiveService</t>
        </is>
      </c>
      <c r="N64" s="15" t="inlineStr">
        <is>
          <t>Codex 已实现仓库内实现与本地自动化验证；生产外部调用需配置对应平台权限/密钥。更新日期 2026-05-06</t>
        </is>
      </c>
    </row>
    <row r="65">
      <c r="A65" s="15" t="inlineStr">
        <is>
          <t>P1-035</t>
        </is>
      </c>
      <c r="B65" s="15" t="inlineStr">
        <is>
          <t>P1</t>
        </is>
      </c>
      <c r="C65" s="15" t="inlineStr">
        <is>
          <t>归档</t>
        </is>
      </c>
      <c r="D65" s="15" t="inlineStr">
        <is>
          <t>飞书归档</t>
        </is>
      </c>
      <c r="E65" s="15" t="inlineStr">
        <is>
          <t>可选转存飞书云空间归档目录</t>
        </is>
      </c>
      <c r="F65" s="15" t="inlineStr">
        <is>
          <t>小文件可上传飞书，大文件只回填外链。</t>
        </is>
      </c>
      <c r="G65" s="15" t="inlineStr">
        <is>
          <t>后端/飞书集成</t>
        </is>
      </c>
      <c r="H65" s="39" t="n">
        <v>46176</v>
      </c>
      <c r="I65" s="39" t="n">
        <v>46178</v>
      </c>
      <c r="J65" s="15" t="inlineStr">
        <is>
          <t>已完成</t>
        </is>
      </c>
      <c r="K65" s="15" t="inlineStr">
        <is>
          <t>P1-034,P0-017</t>
        </is>
      </c>
      <c r="L65" s="15" t="inlineStr">
        <is>
          <t>飞书目录可查看</t>
        </is>
      </c>
      <c r="M65" s="15" t="inlineStr">
        <is>
          <t>Drive 归档</t>
        </is>
      </c>
      <c r="N65" s="15" t="inlineStr">
        <is>
          <t>Codex 已实现仓库内实现与本地自动化验证；生产外部调用需配置对应平台权限/密钥。更新日期 2026-05-06</t>
        </is>
      </c>
    </row>
    <row r="66">
      <c r="A66" s="15" t="inlineStr">
        <is>
          <t>P1-036</t>
        </is>
      </c>
      <c r="B66" s="15" t="inlineStr">
        <is>
          <t>P1</t>
        </is>
      </c>
      <c r="C66" s="15" t="inlineStr">
        <is>
          <t>归档</t>
        </is>
      </c>
      <c r="D66" s="15" t="inlineStr">
        <is>
          <t>回填</t>
        </is>
      </c>
      <c r="E66" s="15" t="inlineStr">
        <is>
          <t>归档链接和状态回填</t>
        </is>
      </c>
      <c r="F66" s="15" t="inlineStr">
        <is>
          <t>状态=已归档-满意/不满意。</t>
        </is>
      </c>
      <c r="G66" s="15" t="inlineStr">
        <is>
          <t>后端/飞书集成</t>
        </is>
      </c>
      <c r="H66" s="39" t="n">
        <v>46177</v>
      </c>
      <c r="I66" s="39" t="n">
        <v>46178</v>
      </c>
      <c r="J66" s="15" t="inlineStr">
        <is>
          <t>已完成</t>
        </is>
      </c>
      <c r="K66" s="15" t="inlineStr">
        <is>
          <t>P1-034,P0-016</t>
        </is>
      </c>
      <c r="L66" s="15" t="inlineStr">
        <is>
          <t>表格状态正确</t>
        </is>
      </c>
      <c r="M66" s="15" t="inlineStr">
        <is>
          <t>回填任务</t>
        </is>
      </c>
      <c r="N66" s="15" t="inlineStr">
        <is>
          <t>Codex 已实现仓库内实现与本地自动化验证；生产外部调用需配置对应平台权限/密钥。更新日期 2026-05-06</t>
        </is>
      </c>
    </row>
    <row r="67">
      <c r="A67" s="15" t="inlineStr">
        <is>
          <t>P1-037</t>
        </is>
      </c>
      <c r="B67" s="15" t="inlineStr">
        <is>
          <t>P1</t>
        </is>
      </c>
      <c r="C67" s="15" t="inlineStr">
        <is>
          <t>归档</t>
        </is>
      </c>
      <c r="D67" s="15" t="inlineStr">
        <is>
          <t>幂等</t>
        </is>
      </c>
      <c r="E67" s="15" t="inlineStr">
        <is>
          <t>归档任务幂等</t>
        </is>
      </c>
      <c r="F67" s="15" t="inlineStr">
        <is>
          <t>重复标满意度不会重复复制文件。</t>
        </is>
      </c>
      <c r="G67" s="15" t="inlineStr">
        <is>
          <t>后端</t>
        </is>
      </c>
      <c r="H67" s="39" t="n">
        <v>46177</v>
      </c>
      <c r="I67" s="39" t="n">
        <v>46178</v>
      </c>
      <c r="J67" s="15" t="inlineStr">
        <is>
          <t>已完成</t>
        </is>
      </c>
      <c r="K67" s="15" t="inlineStr">
        <is>
          <t>P1-034</t>
        </is>
      </c>
      <c r="L67" s="15" t="inlineStr">
        <is>
          <t>重复触发不产生重复文件</t>
        </is>
      </c>
      <c r="M67" s="15" t="inlineStr">
        <is>
          <t>幂等逻辑</t>
        </is>
      </c>
      <c r="N67" s="15" t="inlineStr">
        <is>
          <t>Codex 已实现仓库内实现与本地自动化验证；生产外部调用需配置对应平台权限/密钥。更新日期 2026-05-06</t>
        </is>
      </c>
    </row>
    <row r="68">
      <c r="A68" s="15" t="inlineStr">
        <is>
          <t>P1-038</t>
        </is>
      </c>
      <c r="B68" s="15" t="inlineStr">
        <is>
          <t>P1</t>
        </is>
      </c>
      <c r="C68" s="15" t="inlineStr">
        <is>
          <t>前端/UI</t>
        </is>
      </c>
      <c r="D68" s="15" t="inlineStr">
        <is>
          <t>卡片模板</t>
        </is>
      </c>
      <c r="E68" s="15" t="inlineStr">
        <is>
          <t>完成新建项目卡片 JSON</t>
        </is>
      </c>
      <c r="F68" s="15" t="inlineStr">
        <is>
          <t>包含项目名、模型默认配置、画幅、时长。</t>
        </is>
      </c>
      <c r="G68" s="15" t="inlineStr">
        <is>
          <t>前端/飞书集成</t>
        </is>
      </c>
      <c r="H68" s="39" t="n">
        <v>46153</v>
      </c>
      <c r="I68" s="39" t="n">
        <v>46155</v>
      </c>
      <c r="J68" s="15" t="inlineStr">
        <is>
          <t>已完成</t>
        </is>
      </c>
      <c r="K68" s="15" t="str"/>
      <c r="L68" s="15" t="inlineStr">
        <is>
          <t>卡片可预览</t>
        </is>
      </c>
      <c r="M68" s="15" t="inlineStr">
        <is>
          <t>卡片 JSON</t>
        </is>
      </c>
      <c r="N68" s="15" t="inlineStr">
        <is>
          <t>Codex 已实现仓库内实现与本地自动化验证；生产外部调用需配置对应平台权限/密钥。更新日期 2026-05-06</t>
        </is>
      </c>
    </row>
    <row r="69">
      <c r="A69" s="15" t="inlineStr">
        <is>
          <t>P1-039</t>
        </is>
      </c>
      <c r="B69" s="15" t="inlineStr">
        <is>
          <t>P1</t>
        </is>
      </c>
      <c r="C69" s="15" t="inlineStr">
        <is>
          <t>前端/UI</t>
        </is>
      </c>
      <c r="D69" s="15" t="inlineStr">
        <is>
          <t>批次操作卡片</t>
        </is>
      </c>
      <c r="E69" s="15" t="inlineStr">
        <is>
          <t>完成批次操作卡片 JSON</t>
        </is>
      </c>
      <c r="F69" s="15" t="inlineStr">
        <is>
          <t>同步、优化、生成帧、重试失败、查看进度。</t>
        </is>
      </c>
      <c r="G69" s="15" t="inlineStr">
        <is>
          <t>前端/飞书集成</t>
        </is>
      </c>
      <c r="H69" s="39" t="n">
        <v>46161</v>
      </c>
      <c r="I69" s="39" t="n">
        <v>46163</v>
      </c>
      <c r="J69" s="15" t="inlineStr">
        <is>
          <t>已完成</t>
        </is>
      </c>
      <c r="K69" s="15" t="inlineStr">
        <is>
          <t>P1-038</t>
        </is>
      </c>
      <c r="L69" s="15" t="inlineStr">
        <is>
          <t>卡片可操作</t>
        </is>
      </c>
      <c r="M69" s="15" t="inlineStr">
        <is>
          <t>卡片 JSON</t>
        </is>
      </c>
      <c r="N69" s="15" t="inlineStr">
        <is>
          <t>Codex 已实现仓库内实现与本地自动化验证；生产外部调用需配置对应平台权限/密钥。更新日期 2026-05-06</t>
        </is>
      </c>
    </row>
    <row r="70">
      <c r="A70" s="15" t="inlineStr">
        <is>
          <t>P1-040</t>
        </is>
      </c>
      <c r="B70" s="15" t="inlineStr">
        <is>
          <t>P1</t>
        </is>
      </c>
      <c r="C70" s="15" t="inlineStr">
        <is>
          <t>前端/UI</t>
        </is>
      </c>
      <c r="D70" s="15" t="inlineStr">
        <is>
          <t>进度卡片</t>
        </is>
      </c>
      <c r="E70" s="15" t="inlineStr">
        <is>
          <t>完成进度与失败提醒卡片</t>
        </is>
      </c>
      <c r="F70" s="15" t="inlineStr">
        <is>
          <t>展示 job_group 统计、错误码和重试按钮。</t>
        </is>
      </c>
      <c r="G70" s="15" t="inlineStr">
        <is>
          <t>前端/飞书集成</t>
        </is>
      </c>
      <c r="H70" s="39" t="n">
        <v>46167</v>
      </c>
      <c r="I70" s="39" t="n">
        <v>46169</v>
      </c>
      <c r="J70" s="15" t="inlineStr">
        <is>
          <t>已完成</t>
        </is>
      </c>
      <c r="K70" s="15" t="inlineStr">
        <is>
          <t>P1-039</t>
        </is>
      </c>
      <c r="L70" s="15" t="inlineStr">
        <is>
          <t>失败提醒清晰</t>
        </is>
      </c>
      <c r="M70" s="15" t="inlineStr">
        <is>
          <t>卡片 JSON</t>
        </is>
      </c>
      <c r="N70" s="15" t="inlineStr">
        <is>
          <t>Codex 已实现仓库内实现与本地自动化验证；生产外部调用需配置对应平台权限/密钥。更新日期 2026-05-06</t>
        </is>
      </c>
    </row>
    <row r="71">
      <c r="A71" s="15" t="inlineStr">
        <is>
          <t>P1-041</t>
        </is>
      </c>
      <c r="B71" s="15" t="inlineStr">
        <is>
          <t>P1</t>
        </is>
      </c>
      <c r="C71" s="15" t="inlineStr">
        <is>
          <t>前端/UI</t>
        </is>
      </c>
      <c r="D71" s="15" t="inlineStr">
        <is>
          <t>表格视图优化</t>
        </is>
      </c>
      <c r="E71" s="15" t="inlineStr">
        <is>
          <t>锁定基础列、设置状态色和字段说明</t>
        </is>
      </c>
      <c r="F71" s="15" t="inlineStr">
        <is>
          <t>提升协作可用性。</t>
        </is>
      </c>
      <c r="G71" s="15" t="inlineStr">
        <is>
          <t>产品/飞书集成</t>
        </is>
      </c>
      <c r="H71" s="39" t="n">
        <v>46167</v>
      </c>
      <c r="I71" s="39" t="n">
        <v>46169</v>
      </c>
      <c r="J71" s="15" t="inlineStr">
        <is>
          <t>已完成</t>
        </is>
      </c>
      <c r="K71" s="15" t="inlineStr">
        <is>
          <t>P0-020</t>
        </is>
      </c>
      <c r="L71" s="15" t="inlineStr">
        <is>
          <t>用户可直接使用</t>
        </is>
      </c>
      <c r="M71" s="15" t="inlineStr">
        <is>
          <t>Bitable 视图</t>
        </is>
      </c>
      <c r="N71" s="15" t="inlineStr">
        <is>
          <t>Codex 已实现仓库内实现与本地自动化验证；生产外部调用需配置对应平台权限/密钥。更新日期 2026-05-06</t>
        </is>
      </c>
    </row>
    <row r="72">
      <c r="A72" s="15" t="inlineStr">
        <is>
          <t>P2-001</t>
        </is>
      </c>
      <c r="B72" s="15" t="inlineStr">
        <is>
          <t>P2</t>
        </is>
      </c>
      <c r="C72" s="15" t="inlineStr">
        <is>
          <t>前后帧对齐</t>
        </is>
      </c>
      <c r="D72" s="15" t="inlineStr">
        <is>
          <t>配置</t>
        </is>
      </c>
      <c r="E72" s="15" t="inlineStr">
        <is>
          <t>增加项目级/镜头级开关</t>
        </is>
      </c>
      <c r="F72" s="15" t="inlineStr">
        <is>
          <t>默认关闭。</t>
        </is>
      </c>
      <c r="G72" s="15" t="inlineStr">
        <is>
          <t>后端/前端</t>
        </is>
      </c>
      <c r="H72" s="39" t="n">
        <v>46179</v>
      </c>
      <c r="I72" s="39" t="n">
        <v>46181</v>
      </c>
      <c r="J72" s="15" t="inlineStr">
        <is>
          <t>已完成</t>
        </is>
      </c>
      <c r="K72" s="15" t="inlineStr">
        <is>
          <t>P1-017</t>
        </is>
      </c>
      <c r="L72" s="15" t="inlineStr">
        <is>
          <t>开关可配置</t>
        </is>
      </c>
      <c r="M72" s="15" t="inlineStr">
        <is>
          <t>配置字段</t>
        </is>
      </c>
      <c r="N72" s="15" t="inlineStr">
        <is>
          <t>Codex 已实现仓库内实现与本地自动化验证；生产外部调用需配置对应平台权限/密钥。更新日期 2026-05-06</t>
        </is>
      </c>
    </row>
    <row r="73">
      <c r="A73" s="15" t="inlineStr">
        <is>
          <t>P2-002</t>
        </is>
      </c>
      <c r="B73" s="15" t="inlineStr">
        <is>
          <t>P2</t>
        </is>
      </c>
      <c r="C73" s="15" t="inlineStr">
        <is>
          <t>前后帧对齐</t>
        </is>
      </c>
      <c r="D73" s="15" t="inlineStr">
        <is>
          <t>读取上一镜尾帧</t>
        </is>
      </c>
      <c r="E73" s="15" t="inlineStr">
        <is>
          <t>按镜号读取上一镜 last_frame_asset</t>
        </is>
      </c>
      <c r="F73" s="15" t="inlineStr">
        <is>
          <t>上一镜不完整时降级。</t>
        </is>
      </c>
      <c r="G73" s="15" t="inlineStr">
        <is>
          <t>后端</t>
        </is>
      </c>
      <c r="H73" s="39" t="n">
        <v>46180</v>
      </c>
      <c r="I73" s="39" t="n">
        <v>46182</v>
      </c>
      <c r="J73" s="15" t="inlineStr">
        <is>
          <t>已完成</t>
        </is>
      </c>
      <c r="K73" s="15" t="inlineStr">
        <is>
          <t>P2-001</t>
        </is>
      </c>
      <c r="L73" s="15" t="inlineStr">
        <is>
          <t>引用正确</t>
        </is>
      </c>
      <c r="M73" s="15" t="inlineStr">
        <is>
          <t>AlignmentService</t>
        </is>
      </c>
      <c r="N73" s="15" t="inlineStr">
        <is>
          <t>Codex 已实现仓库内实现与本地自动化验证；生产外部调用需配置对应平台权限/密钥。更新日期 2026-05-06</t>
        </is>
      </c>
    </row>
    <row r="74">
      <c r="A74" s="15" t="inlineStr">
        <is>
          <t>P2-003</t>
        </is>
      </c>
      <c r="B74" s="15" t="inlineStr">
        <is>
          <t>P2</t>
        </is>
      </c>
      <c r="C74" s="15" t="inlineStr">
        <is>
          <t>前后帧对齐</t>
        </is>
      </c>
      <c r="D74" s="15" t="inlineStr">
        <is>
          <t>对齐 Prompt</t>
        </is>
      </c>
      <c r="E74" s="15" t="inlineStr">
        <is>
          <t>GPT-5.4 生成对齐补充说明</t>
        </is>
      </c>
      <c r="F74" s="15" t="inlineStr">
        <is>
          <t>保留角色/光线/空间连续性。</t>
        </is>
      </c>
      <c r="G74" s="15" t="inlineStr">
        <is>
          <t>AI 工程</t>
        </is>
      </c>
      <c r="H74" s="39" t="n">
        <v>46181</v>
      </c>
      <c r="I74" s="39" t="n">
        <v>46183</v>
      </c>
      <c r="J74" s="15" t="inlineStr">
        <is>
          <t>已完成</t>
        </is>
      </c>
      <c r="K74" s="15" t="inlineStr">
        <is>
          <t>P2-002,P1-001</t>
        </is>
      </c>
      <c r="L74" s="15" t="inlineStr">
        <is>
          <t>输出可用</t>
        </is>
      </c>
      <c r="M74" s="15" t="inlineStr">
        <is>
          <t>对齐 Prompt 模板</t>
        </is>
      </c>
      <c r="N74" s="15" t="inlineStr">
        <is>
          <t>Codex 已实现仓库内实现与本地自动化验证；生产外部调用需配置对应平台权限/密钥。更新日期 2026-05-06</t>
        </is>
      </c>
    </row>
    <row r="75">
      <c r="A75" s="15" t="inlineStr">
        <is>
          <t>P2-004</t>
        </is>
      </c>
      <c r="B75" s="15" t="inlineStr">
        <is>
          <t>P2</t>
        </is>
      </c>
      <c r="C75" s="15" t="inlineStr">
        <is>
          <t>前后帧对齐</t>
        </is>
      </c>
      <c r="D75" s="15" t="inlineStr">
        <is>
          <t>首帧参考生成</t>
        </is>
      </c>
      <c r="E75" s="15" t="inlineStr">
        <is>
          <t>将上一镜尾帧作为当前首帧参考图</t>
        </is>
      </c>
      <c r="F75" s="15" t="inlineStr">
        <is>
          <t>只影响 first_frame 任务。</t>
        </is>
      </c>
      <c r="G75" s="15" t="inlineStr">
        <is>
          <t>AI 工程/后端</t>
        </is>
      </c>
      <c r="H75" s="39" t="n">
        <v>46182</v>
      </c>
      <c r="I75" s="39" t="n">
        <v>46185</v>
      </c>
      <c r="J75" s="15" t="inlineStr">
        <is>
          <t>已完成</t>
        </is>
      </c>
      <c r="K75" s="15" t="inlineStr">
        <is>
          <t>P2-003,P1-016</t>
        </is>
      </c>
      <c r="L75" s="15" t="inlineStr">
        <is>
          <t>对齐生成可用</t>
        </is>
      </c>
      <c r="M75" s="15" t="inlineStr">
        <is>
          <t>FrameWorker 改造</t>
        </is>
      </c>
      <c r="N75" s="15" t="inlineStr">
        <is>
          <t>Codex 已实现仓库内实现与本地自动化验证；生产外部调用需配置对应平台权限/密钥。更新日期 2026-05-06</t>
        </is>
      </c>
    </row>
    <row r="76">
      <c r="A76" s="15" t="inlineStr">
        <is>
          <t>P2-005</t>
        </is>
      </c>
      <c r="B76" s="15" t="inlineStr">
        <is>
          <t>P2</t>
        </is>
      </c>
      <c r="C76" s="15" t="inlineStr">
        <is>
          <t>成本</t>
        </is>
      </c>
      <c r="D76" s="15" t="inlineStr">
        <is>
          <t>用量记录</t>
        </is>
      </c>
      <c r="E76" s="15" t="inlineStr">
        <is>
          <t>记录 token、图片张数、视频秒数</t>
        </is>
      </c>
      <c r="F76" s="15" t="inlineStr">
        <is>
          <t>Provider raw_usage 入库。</t>
        </is>
      </c>
      <c r="G76" s="15" t="inlineStr">
        <is>
          <t>后端</t>
        </is>
      </c>
      <c r="H76" s="39" t="n">
        <v>46179</v>
      </c>
      <c r="I76" s="39" t="n">
        <v>46182</v>
      </c>
      <c r="J76" s="15" t="inlineStr">
        <is>
          <t>已完成</t>
        </is>
      </c>
      <c r="K76" s="15" t="inlineStr">
        <is>
          <t>P1-031</t>
        </is>
      </c>
      <c r="L76" s="15" t="inlineStr">
        <is>
          <t>成本可查询</t>
        </is>
      </c>
      <c r="M76" s="15" t="inlineStr">
        <is>
          <t>CostService</t>
        </is>
      </c>
      <c r="N76" s="15" t="inlineStr">
        <is>
          <t>Codex 已实现仓库内实现与本地自动化验证；生产外部调用需配置对应平台权限/密钥。更新日期 2026-05-06</t>
        </is>
      </c>
    </row>
    <row r="77">
      <c r="A77" s="15" t="inlineStr">
        <is>
          <t>P2-006</t>
        </is>
      </c>
      <c r="B77" s="15" t="inlineStr">
        <is>
          <t>P2</t>
        </is>
      </c>
      <c r="C77" s="15" t="inlineStr">
        <is>
          <t>成本</t>
        </is>
      </c>
      <c r="D77" s="15" t="inlineStr">
        <is>
          <t>成本回填</t>
        </is>
      </c>
      <c r="E77" s="15" t="inlineStr">
        <is>
          <t>镜头级成本回填飞书</t>
        </is>
      </c>
      <c r="F77" s="15" t="inlineStr">
        <is>
          <t>可配置是否显示。</t>
        </is>
      </c>
      <c r="G77" s="15" t="inlineStr">
        <is>
          <t>后端/飞书集成</t>
        </is>
      </c>
      <c r="H77" s="39" t="n">
        <v>46181</v>
      </c>
      <c r="I77" s="39" t="n">
        <v>46183</v>
      </c>
      <c r="J77" s="15" t="inlineStr">
        <is>
          <t>已完成</t>
        </is>
      </c>
      <c r="K77" s="15" t="inlineStr">
        <is>
          <t>P2-005</t>
        </is>
      </c>
      <c r="L77" s="15" t="inlineStr">
        <is>
          <t>表格显示成本</t>
        </is>
      </c>
      <c r="M77" s="15" t="inlineStr">
        <is>
          <t>成本回填</t>
        </is>
      </c>
      <c r="N77" s="15" t="inlineStr">
        <is>
          <t>Codex 已实现仓库内实现与本地自动化验证；生产外部调用需配置对应平台权限/密钥。更新日期 2026-05-06</t>
        </is>
      </c>
    </row>
    <row r="78">
      <c r="A78" s="15" t="inlineStr">
        <is>
          <t>P2-007</t>
        </is>
      </c>
      <c r="B78" s="15" t="inlineStr">
        <is>
          <t>P2</t>
        </is>
      </c>
      <c r="C78" s="15" t="inlineStr">
        <is>
          <t>监控</t>
        </is>
      </c>
      <c r="D78" s="15" t="inlineStr">
        <is>
          <t>指标</t>
        </is>
      </c>
      <c r="E78" s="15" t="inlineStr">
        <is>
          <t>实现 Prometheus 指标</t>
        </is>
      </c>
      <c r="F78" s="15" t="inlineStr">
        <is>
          <t>队列深度、任务失败率、Provider 延迟。</t>
        </is>
      </c>
      <c r="G78" s="15" t="inlineStr">
        <is>
          <t>DevOps/后端</t>
        </is>
      </c>
      <c r="H78" s="39" t="n">
        <v>46179</v>
      </c>
      <c r="I78" s="39" t="n">
        <v>46182</v>
      </c>
      <c r="J78" s="15" t="inlineStr">
        <is>
          <t>已完成</t>
        </is>
      </c>
      <c r="K78" s="15" t="inlineStr">
        <is>
          <t>P0-006</t>
        </is>
      </c>
      <c r="L78" s="15" t="inlineStr">
        <is>
          <t>指标可采集</t>
        </is>
      </c>
      <c r="M78" s="15" t="inlineStr">
        <is>
          <t>metrics endpoint</t>
        </is>
      </c>
      <c r="N78" s="15" t="inlineStr">
        <is>
          <t>Codex 已实现仓库内实现与本地自动化验证；生产外部调用需配置对应平台权限/密钥。更新日期 2026-05-06</t>
        </is>
      </c>
    </row>
    <row r="79">
      <c r="A79" s="15" t="inlineStr">
        <is>
          <t>P2-008</t>
        </is>
      </c>
      <c r="B79" s="15" t="inlineStr">
        <is>
          <t>P2</t>
        </is>
      </c>
      <c r="C79" s="15" t="inlineStr">
        <is>
          <t>监控</t>
        </is>
      </c>
      <c r="D79" s="15" t="inlineStr">
        <is>
          <t>Dashboard</t>
        </is>
      </c>
      <c r="E79" s="15" t="inlineStr">
        <is>
          <t>实现 Grafana Dashboard</t>
        </is>
      </c>
      <c r="F79" s="15" t="inlineStr">
        <is>
          <t>项目总任务、失败率、成本、耗时趋势。</t>
        </is>
      </c>
      <c r="G79" s="15" t="inlineStr">
        <is>
          <t>DevOps</t>
        </is>
      </c>
      <c r="H79" s="39" t="n">
        <v>46182</v>
      </c>
      <c r="I79" s="39" t="n">
        <v>46185</v>
      </c>
      <c r="J79" s="15" t="inlineStr">
        <is>
          <t>已完成</t>
        </is>
      </c>
      <c r="K79" s="15" t="inlineStr">
        <is>
          <t>P2-007</t>
        </is>
      </c>
      <c r="L79" s="15" t="inlineStr">
        <is>
          <t>Dashboard 可查看</t>
        </is>
      </c>
      <c r="M79" s="15" t="inlineStr">
        <is>
          <t>Grafana 面板</t>
        </is>
      </c>
      <c r="N79" s="15" t="inlineStr">
        <is>
          <t>Codex 已实现仓库内实现与本地自动化验证；生产外部调用需配置对应平台权限/密钥。更新日期 2026-05-06</t>
        </is>
      </c>
    </row>
    <row r="80">
      <c r="A80" s="15" t="inlineStr">
        <is>
          <t>P2-009</t>
        </is>
      </c>
      <c r="B80" s="15" t="inlineStr">
        <is>
          <t>P2</t>
        </is>
      </c>
      <c r="C80" s="15" t="inlineStr">
        <is>
          <t>运维</t>
        </is>
      </c>
      <c r="D80" s="15" t="inlineStr">
        <is>
          <t>死信队列</t>
        </is>
      </c>
      <c r="E80" s="15" t="inlineStr">
        <is>
          <t>失败超过次数进入 DLQ</t>
        </is>
      </c>
      <c r="F80" s="15" t="inlineStr">
        <is>
          <t>支持手动恢复。</t>
        </is>
      </c>
      <c r="G80" s="15" t="inlineStr">
        <is>
          <t>后端</t>
        </is>
      </c>
      <c r="H80" s="39" t="n">
        <v>46183</v>
      </c>
      <c r="I80" s="39" t="n">
        <v>46186</v>
      </c>
      <c r="J80" s="15" t="inlineStr">
        <is>
          <t>已完成</t>
        </is>
      </c>
      <c r="K80" s="15" t="inlineStr">
        <is>
          <t>P1-019,P1-032</t>
        </is>
      </c>
      <c r="L80" s="15" t="inlineStr">
        <is>
          <t>不可恢复任务可追踪</t>
        </is>
      </c>
      <c r="M80" s="15" t="inlineStr">
        <is>
          <t>DLQ</t>
        </is>
      </c>
      <c r="N80" s="15" t="inlineStr">
        <is>
          <t>Codex 已实现仓库内实现与本地自动化验证；生产外部调用需配置对应平台权限/密钥。更新日期 2026-05-06</t>
        </is>
      </c>
    </row>
    <row r="81">
      <c r="A81" s="15" t="inlineStr">
        <is>
          <t>P2-010</t>
        </is>
      </c>
      <c r="B81" s="15" t="inlineStr">
        <is>
          <t>P2</t>
        </is>
      </c>
      <c r="C81" s="15" t="inlineStr">
        <is>
          <t>运维</t>
        </is>
      </c>
      <c r="D81" s="15" t="inlineStr">
        <is>
          <t>手动恢复工具</t>
        </is>
      </c>
      <c r="E81" s="15" t="inlineStr">
        <is>
          <t>按 job_id 重试/取消/标记 stale</t>
        </is>
      </c>
      <c r="F81" s="15" t="inlineStr">
        <is>
          <t>管理员工具。</t>
        </is>
      </c>
      <c r="G81" s="15" t="inlineStr">
        <is>
          <t>后端</t>
        </is>
      </c>
      <c r="H81" s="39" t="n">
        <v>46185</v>
      </c>
      <c r="I81" s="39" t="n">
        <v>46188</v>
      </c>
      <c r="J81" s="15" t="inlineStr">
        <is>
          <t>已完成</t>
        </is>
      </c>
      <c r="K81" s="15" t="inlineStr">
        <is>
          <t>P2-009</t>
        </is>
      </c>
      <c r="L81" s="15" t="inlineStr">
        <is>
          <t>可恢复异常任务</t>
        </is>
      </c>
      <c r="M81" s="15" t="inlineStr">
        <is>
          <t>CLI/接口</t>
        </is>
      </c>
      <c r="N81" s="15" t="inlineStr">
        <is>
          <t>Codex 已实现仓库内实现与本地自动化验证；生产外部调用需配置对应平台权限/密钥。更新日期 2026-05-06</t>
        </is>
      </c>
    </row>
    <row r="82">
      <c r="A82" s="15" t="inlineStr">
        <is>
          <t>P2-011</t>
        </is>
      </c>
      <c r="B82" s="15" t="inlineStr">
        <is>
          <t>P2</t>
        </is>
      </c>
      <c r="C82" s="15" t="inlineStr">
        <is>
          <t>权限</t>
        </is>
      </c>
      <c r="D82" s="15" t="inlineStr">
        <is>
          <t>项目成员权限</t>
        </is>
      </c>
      <c r="E82" s="15" t="inlineStr">
        <is>
          <t>校验 open_id 是否项目成员</t>
        </is>
      </c>
      <c r="F82" s="15" t="inlineStr">
        <is>
          <t>普通用户不能改配置。</t>
        </is>
      </c>
      <c r="G82" s="15" t="inlineStr">
        <is>
          <t>后端/飞书集成</t>
        </is>
      </c>
      <c r="H82" s="39" t="n">
        <v>46181</v>
      </c>
      <c r="I82" s="39" t="n">
        <v>46184</v>
      </c>
      <c r="J82" s="15" t="inlineStr">
        <is>
          <t>已完成</t>
        </is>
      </c>
      <c r="K82" s="15" t="inlineStr">
        <is>
          <t>P0-012,P0-024</t>
        </is>
      </c>
      <c r="L82" s="15" t="inlineStr">
        <is>
          <t>权限隔离生效</t>
        </is>
      </c>
      <c r="M82" s="15" t="inlineStr">
        <is>
          <t>权限服务</t>
        </is>
      </c>
      <c r="N82" s="15" t="inlineStr">
        <is>
          <t>Codex 已实现仓库内实现与本地自动化验证；生产外部调用需配置对应平台权限/密钥。更新日期 2026-05-06</t>
        </is>
      </c>
    </row>
    <row r="83">
      <c r="A83" s="15" t="inlineStr">
        <is>
          <t>P2-012</t>
        </is>
      </c>
      <c r="B83" s="15" t="inlineStr">
        <is>
          <t>P2</t>
        </is>
      </c>
      <c r="C83" s="15" t="inlineStr">
        <is>
          <t>测试</t>
        </is>
      </c>
      <c r="D83" s="15" t="inlineStr">
        <is>
          <t>端到端回归</t>
        </is>
      </c>
      <c r="E83" s="15" t="inlineStr">
        <is>
          <t>Mock 全链路：建项→优化→出图→审核→视频→归档</t>
        </is>
      </c>
      <c r="F83" s="15" t="inlineStr">
        <is>
          <t>CI 自动跑。</t>
        </is>
      </c>
      <c r="G83" s="15" t="inlineStr">
        <is>
          <t>QA/后端</t>
        </is>
      </c>
      <c r="H83" s="39" t="n">
        <v>46187</v>
      </c>
      <c r="I83" s="39" t="n">
        <v>46190</v>
      </c>
      <c r="J83" s="15" t="inlineStr">
        <is>
          <t>已完成</t>
        </is>
      </c>
      <c r="K83" s="15" t="inlineStr">
        <is>
          <t>P1-037</t>
        </is>
      </c>
      <c r="L83" s="15" t="inlineStr">
        <is>
          <t>E2E 测试通过</t>
        </is>
      </c>
      <c r="M83" s="15" t="inlineStr">
        <is>
          <t>测试报告</t>
        </is>
      </c>
      <c r="N83" s="15" t="inlineStr">
        <is>
          <t>Codex 已实现仓库内实现与本地自动化验证；生产外部调用需配置对应平台权限/密钥。更新日期 2026-05-06</t>
        </is>
      </c>
    </row>
    <row r="84">
      <c r="A84" s="15" t="inlineStr">
        <is>
          <t>P2-013</t>
        </is>
      </c>
      <c r="B84" s="15" t="inlineStr">
        <is>
          <t>P2</t>
        </is>
      </c>
      <c r="C84" s="15" t="inlineStr">
        <is>
          <t>文档</t>
        </is>
      </c>
      <c r="D84" s="15" t="inlineStr">
        <is>
          <t>部署文档</t>
        </is>
      </c>
      <c r="E84" s="15" t="inlineStr">
        <is>
          <t>生产部署、环境变量、密钥、回滚说明</t>
        </is>
      </c>
      <c r="F84" s="15" t="inlineStr">
        <is>
          <t>交付给运维。</t>
        </is>
      </c>
      <c r="G84" s="15" t="inlineStr">
        <is>
          <t>DevOps/后端</t>
        </is>
      </c>
      <c r="H84" s="39" t="n">
        <v>46187</v>
      </c>
      <c r="I84" s="39" t="n">
        <v>46189</v>
      </c>
      <c r="J84" s="15" t="inlineStr">
        <is>
          <t>已完成</t>
        </is>
      </c>
      <c r="K84" s="15" t="inlineStr">
        <is>
          <t>P2-008</t>
        </is>
      </c>
      <c r="L84" s="15" t="inlineStr">
        <is>
          <t>可独立部署</t>
        </is>
      </c>
      <c r="M84" s="15" t="inlineStr">
        <is>
          <t>部署文档</t>
        </is>
      </c>
      <c r="N84" s="15" t="inlineStr">
        <is>
          <t>Codex 已实现仓库内实现与本地自动化验证；生产外部调用需配置对应平台权限/密钥。更新日期 2026-05-06</t>
        </is>
      </c>
    </row>
    <row r="85">
      <c r="A85" s="15" t="inlineStr">
        <is>
          <t>P2-014</t>
        </is>
      </c>
      <c r="B85" s="15" t="inlineStr">
        <is>
          <t>P2</t>
        </is>
      </c>
      <c r="C85" s="15" t="inlineStr">
        <is>
          <t>文档</t>
        </is>
      </c>
      <c r="D85" s="15" t="inlineStr">
        <is>
          <t>用户操作手册</t>
        </is>
      </c>
      <c r="E85" s="15" t="inlineStr">
        <is>
          <t>面向编导/审核人/制片的使用说明</t>
        </is>
      </c>
      <c r="F85" s="15" t="inlineStr">
        <is>
          <t>放在飞书项目内。</t>
        </is>
      </c>
      <c r="G85" s="15" t="inlineStr">
        <is>
          <t>产品</t>
        </is>
      </c>
      <c r="H85" s="39" t="n">
        <v>46188</v>
      </c>
      <c r="I85" s="39" t="n">
        <v>46190</v>
      </c>
      <c r="J85" s="15" t="inlineStr">
        <is>
          <t>已完成</t>
        </is>
      </c>
      <c r="K85" s="15" t="inlineStr">
        <is>
          <t>P1-041</t>
        </is>
      </c>
      <c r="L85" s="15" t="inlineStr">
        <is>
          <t>用户可自助操作</t>
        </is>
      </c>
      <c r="M85" s="15" t="inlineStr">
        <is>
          <t>操作手册</t>
        </is>
      </c>
      <c r="N85" s="15" t="inlineStr">
        <is>
          <t>Codex 已实现仓库内实现与本地自动化验证；生产外部调用需配置对应平台权限/密钥。更新日期 2026-05-06</t>
        </is>
      </c>
    </row>
    <row r="86">
      <c r="A86" s="15" t="inlineStr">
        <is>
          <t>QA-001</t>
        </is>
      </c>
      <c r="B86" s="15" t="inlineStr">
        <is>
          <t>P1</t>
        </is>
      </c>
      <c r="C86" s="15" t="inlineStr">
        <is>
          <t>测试验收</t>
        </is>
      </c>
      <c r="D86" s="15" t="inlineStr">
        <is>
          <t>Prompt 优化测试</t>
        </is>
      </c>
      <c r="E86" s="15" t="inlineStr">
        <is>
          <t>准备 10 条分镜样例验证结构化输出</t>
        </is>
      </c>
      <c r="F86" s="15" t="inlineStr">
        <is>
          <t>覆盖无参考图、有参考图、驳回重写。</t>
        </is>
      </c>
      <c r="G86" s="15" t="inlineStr">
        <is>
          <t>QA/AI 工程</t>
        </is>
      </c>
      <c r="H86" s="39" t="n">
        <v>46169</v>
      </c>
      <c r="I86" s="39" t="n">
        <v>46171</v>
      </c>
      <c r="J86" s="15" t="inlineStr">
        <is>
          <t>已完成</t>
        </is>
      </c>
      <c r="K86" s="15" t="inlineStr">
        <is>
          <t>P1-006</t>
        </is>
      </c>
      <c r="L86" s="15" t="inlineStr">
        <is>
          <t>JSON 合格率 100%</t>
        </is>
      </c>
      <c r="M86" s="15" t="inlineStr">
        <is>
          <t>测试用例</t>
        </is>
      </c>
      <c r="N86" s="15" t="inlineStr">
        <is>
          <t>Codex 已实现仓库内实现与本地自动化验证；生产外部调用需配置对应平台权限/密钥。更新日期 2026-05-06</t>
        </is>
      </c>
    </row>
    <row r="87">
      <c r="A87" s="15" t="inlineStr">
        <is>
          <t>QA-002</t>
        </is>
      </c>
      <c r="B87" s="15" t="inlineStr">
        <is>
          <t>P1</t>
        </is>
      </c>
      <c r="C87" s="15" t="inlineStr">
        <is>
          <t>测试验收</t>
        </is>
      </c>
      <c r="D87" s="15" t="inlineStr">
        <is>
          <t>图片生成测试</t>
        </is>
      </c>
      <c r="E87" s="15" t="inlineStr">
        <is>
          <t>准备 5 个批次验证并行出图与 fallback</t>
        </is>
      </c>
      <c r="F87" s="15" t="inlineStr">
        <is>
          <t>检查飞书回填和资产路径。</t>
        </is>
      </c>
      <c r="G87" s="15" t="inlineStr">
        <is>
          <t>QA</t>
        </is>
      </c>
      <c r="H87" s="39" t="n">
        <v>46171</v>
      </c>
      <c r="I87" s="39" t="n">
        <v>46174</v>
      </c>
      <c r="J87" s="15" t="inlineStr">
        <is>
          <t>已完成</t>
        </is>
      </c>
      <c r="K87" s="15" t="inlineStr">
        <is>
          <t>P1-017</t>
        </is>
      </c>
      <c r="L87" s="15" t="inlineStr">
        <is>
          <t>图片生成闭环通过</t>
        </is>
      </c>
      <c r="M87" s="15" t="inlineStr">
        <is>
          <t>测试报告</t>
        </is>
      </c>
      <c r="N87" s="15" t="inlineStr">
        <is>
          <t>Codex 已实现仓库内实现与本地自动化验证；生产外部调用需配置对应平台权限/密钥。更新日期 2026-05-06</t>
        </is>
      </c>
    </row>
    <row r="88">
      <c r="A88" s="15" t="inlineStr">
        <is>
          <t>QA-003</t>
        </is>
      </c>
      <c r="B88" s="15" t="inlineStr">
        <is>
          <t>P1</t>
        </is>
      </c>
      <c r="C88" s="15" t="inlineStr">
        <is>
          <t>测试验收</t>
        </is>
      </c>
      <c r="D88" s="15" t="inlineStr">
        <is>
          <t>视频生成测试</t>
        </is>
      </c>
      <c r="E88" s="15" t="inlineStr">
        <is>
          <t>用 mock 和真实短片各跑一轮</t>
        </is>
      </c>
      <c r="F88" s="15" t="inlineStr">
        <is>
          <t>检查状态、轮询、下载、回填。</t>
        </is>
      </c>
      <c r="G88" s="15" t="inlineStr">
        <is>
          <t>QA/AI 工程</t>
        </is>
      </c>
      <c r="H88" s="39" t="n">
        <v>46176</v>
      </c>
      <c r="I88" s="39" t="n">
        <v>46179</v>
      </c>
      <c r="J88" s="15" t="inlineStr">
        <is>
          <t>已完成</t>
        </is>
      </c>
      <c r="K88" s="15" t="inlineStr">
        <is>
          <t>P1-031</t>
        </is>
      </c>
      <c r="L88" s="15" t="inlineStr">
        <is>
          <t>视频闭环通过</t>
        </is>
      </c>
      <c r="M88" s="15" t="inlineStr">
        <is>
          <t>测试报告</t>
        </is>
      </c>
      <c r="N88" s="15" t="inlineStr">
        <is>
          <t>Codex 已实现仓库内实现与本地自动化验证；生产外部调用需配置对应平台权限/密钥。更新日期 2026-05-06</t>
        </is>
      </c>
    </row>
    <row r="89">
      <c r="A89" s="15" t="inlineStr">
        <is>
          <t>QA-004</t>
        </is>
      </c>
      <c r="B89" s="15" t="inlineStr">
        <is>
          <t>P1</t>
        </is>
      </c>
      <c r="C89" s="15" t="inlineStr">
        <is>
          <t>测试验收</t>
        </is>
      </c>
      <c r="D89" s="15" t="inlineStr">
        <is>
          <t>归档测试</t>
        </is>
      </c>
      <c r="E89" s="15" t="inlineStr">
        <is>
          <t>满意和不满意各跑 5 条</t>
        </is>
      </c>
      <c r="F89" s="15" t="inlineStr">
        <is>
          <t>检查幂等和链接。</t>
        </is>
      </c>
      <c r="G89" s="15" t="inlineStr">
        <is>
          <t>QA</t>
        </is>
      </c>
      <c r="H89" s="39" t="n">
        <v>46178</v>
      </c>
      <c r="I89" s="39" t="n">
        <v>46180</v>
      </c>
      <c r="J89" s="15" t="inlineStr">
        <is>
          <t>已完成</t>
        </is>
      </c>
      <c r="K89" s="15" t="inlineStr">
        <is>
          <t>P1-037</t>
        </is>
      </c>
      <c r="L89" s="15" t="inlineStr">
        <is>
          <t>归档无重复</t>
        </is>
      </c>
      <c r="M89" s="15" t="inlineStr">
        <is>
          <t>测试报告</t>
        </is>
      </c>
      <c r="N89" s="15" t="inlineStr">
        <is>
          <t>Codex 已实现仓库内实现与本地自动化验证；生产外部调用需配置对应平台权限/密钥。更新日期 2026-05-06</t>
        </is>
      </c>
    </row>
    <row r="90">
      <c r="A90" s="15" t="inlineStr">
        <is>
          <t>QA-005</t>
        </is>
      </c>
      <c r="B90" s="15" t="inlineStr">
        <is>
          <t>P1</t>
        </is>
      </c>
      <c r="C90" s="15" t="inlineStr">
        <is>
          <t>测试验收</t>
        </is>
      </c>
      <c r="D90" s="15" t="inlineStr">
        <is>
          <t>误触发测试</t>
        </is>
      </c>
      <c r="E90" s="15" t="inlineStr">
        <is>
          <t>连续点击生成帧/视频</t>
        </is>
      </c>
      <c r="F90" s="15" t="inlineStr">
        <is>
          <t>检查幂等键和扣费保护。</t>
        </is>
      </c>
      <c r="G90" s="15" t="inlineStr">
        <is>
          <t>QA/后端</t>
        </is>
      </c>
      <c r="H90" s="39" t="n">
        <v>46178</v>
      </c>
      <c r="I90" s="39" t="n">
        <v>46180</v>
      </c>
      <c r="J90" s="15" t="inlineStr">
        <is>
          <t>已完成</t>
        </is>
      </c>
      <c r="K90" s="15" t="inlineStr">
        <is>
          <t>P1-018,P1-032</t>
        </is>
      </c>
      <c r="L90" s="15" t="inlineStr">
        <is>
          <t>无重复任务</t>
        </is>
      </c>
      <c r="M90" s="15" t="inlineStr">
        <is>
          <t>测试报告</t>
        </is>
      </c>
      <c r="N90" s="15" t="inlineStr">
        <is>
          <t>Codex 已实现仓库内实现与本地自动化验证；生产外部调用需配置对应平台权限/密钥。更新日期 2026-05-06</t>
        </is>
      </c>
    </row>
    <row r="91">
      <c r="A91" s="15" t="inlineStr">
        <is>
          <t>QA-006</t>
        </is>
      </c>
      <c r="B91" s="15" t="inlineStr">
        <is>
          <t>P2</t>
        </is>
      </c>
      <c r="C91" s="15" t="inlineStr">
        <is>
          <t>测试验收</t>
        </is>
      </c>
      <c r="D91" s="15" t="inlineStr">
        <is>
          <t>限流与恢复测试</t>
        </is>
      </c>
      <c r="E91" s="15" t="inlineStr">
        <is>
          <t>模拟飞书和模型限流</t>
        </is>
      </c>
      <c r="F91" s="15" t="inlineStr">
        <is>
          <t>检查自动重试和回填重试。</t>
        </is>
      </c>
      <c r="G91" s="15" t="inlineStr">
        <is>
          <t>QA/后端</t>
        </is>
      </c>
      <c r="H91" s="39" t="n">
        <v>46185</v>
      </c>
      <c r="I91" s="39" t="n">
        <v>46188</v>
      </c>
      <c r="J91" s="15" t="inlineStr">
        <is>
          <t>已完成</t>
        </is>
      </c>
      <c r="K91" s="15" t="inlineStr">
        <is>
          <t>P2-009</t>
        </is>
      </c>
      <c r="L91" s="15" t="inlineStr">
        <is>
          <t>限流可恢复</t>
        </is>
      </c>
      <c r="M91" s="15" t="inlineStr">
        <is>
          <t>测试报告</t>
        </is>
      </c>
      <c r="N91" s="15" t="inlineStr">
        <is>
          <t>Codex 已实现仓库内实现与本地自动化验证；生产外部调用需配置对应平台权限/密钥。更新日期 2026-05-06</t>
        </is>
      </c>
    </row>
  </sheetData>
  <conditionalFormatting sqref="J2:J91">
    <cfRule type="expression" priority="1" dxfId="0">
      <formula>J2="已完成"</formula>
    </cfRule>
    <cfRule type="expression" priority="2" dxfId="1">
      <formula>J2="进行中"</formula>
    </cfRule>
    <cfRule type="expression" priority="3" dxfId="2">
      <formula>J2="阻塞"</formula>
    </cfRule>
  </conditionalFormatting>
  <conditionalFormatting sqref="B2:B91">
    <cfRule type="expression" priority="4" dxfId="2">
      <formula>B2="P0"</formula>
    </cfRule>
    <cfRule type="expression" priority="5" dxfId="4">
      <formula>B2="P1"</formula>
    </cfRule>
    <cfRule type="expression" priority="6" dxfId="5">
      <formula>B2="P2"</formula>
    </cfRule>
  </conditionalFormatting>
  <dataValidations count="2">
    <dataValidation sqref="B2:B91" showDropDown="0" showInputMessage="0" showErrorMessage="0" allowBlank="0" type="list">
      <formula1>"P0,P1,P2"</formula1>
    </dataValidation>
    <dataValidation sqref="J2:J91" showDropDown="0" showInputMessage="0" showErrorMessage="0" allowBlank="0" type="list">
      <formula1>"未开始,进行中,阻塞,已完成,取消"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40" customWidth="1" min="3" max="3"/>
    <col width="22" customWidth="1" min="4" max="4"/>
    <col width="12" customWidth="1" min="5" max="5"/>
  </cols>
  <sheetData>
    <row r="1">
      <c r="A1" s="6" t="inlineStr">
        <is>
          <t>里程碑</t>
        </is>
      </c>
      <c r="B1" s="6" t="inlineStr">
        <is>
          <t>目标日期</t>
        </is>
      </c>
      <c r="C1" s="6" t="inlineStr">
        <is>
          <t>完成条件</t>
        </is>
      </c>
      <c r="D1" s="6" t="inlineStr">
        <is>
          <t>相关任务</t>
        </is>
      </c>
      <c r="E1" s="6" t="inlineStr">
        <is>
          <t>状态</t>
        </is>
      </c>
    </row>
    <row r="2">
      <c r="A2" s="15" t="inlineStr">
        <is>
          <t>M1 基础环境可运行</t>
        </is>
      </c>
      <c r="B2" s="39" t="n">
        <v>46154</v>
      </c>
      <c r="C2" s="15" t="inlineStr">
        <is>
          <t>API、DB、Redis、Worker、本地环境启动</t>
        </is>
      </c>
      <c r="D2" s="15" t="inlineStr">
        <is>
          <t>P0-001~P0-008</t>
        </is>
      </c>
      <c r="E2" s="15" t="inlineStr">
        <is>
          <t>已完成</t>
        </is>
      </c>
    </row>
    <row r="3">
      <c r="A3" s="15" t="inlineStr">
        <is>
          <t>M2 飞书入口可用</t>
        </is>
      </c>
      <c r="B3" s="39" t="n">
        <v>46159</v>
      </c>
      <c r="C3" s="15" t="inlineStr">
        <is>
          <t>机器人、卡片、多维表格读写、项目创建可用</t>
        </is>
      </c>
      <c r="D3" s="15" t="inlineStr">
        <is>
          <t>P0-009~P0-023</t>
        </is>
      </c>
      <c r="E3" s="15" t="inlineStr">
        <is>
          <t>已完成</t>
        </is>
      </c>
    </row>
    <row r="4">
      <c r="A4" s="15" t="inlineStr">
        <is>
          <t>M3 Prompt 优化闭环</t>
        </is>
      </c>
      <c r="B4" s="39" t="n">
        <v>46164</v>
      </c>
      <c r="C4" s="15" t="inlineStr">
        <is>
          <t>GPT-5.4 优化结果回填飞书</t>
        </is>
      </c>
      <c r="D4" s="15" t="inlineStr">
        <is>
          <t>P1-001~P1-007</t>
        </is>
      </c>
      <c r="E4" s="15" t="inlineStr">
        <is>
          <t>已完成</t>
        </is>
      </c>
    </row>
    <row r="5">
      <c r="A5" s="15" t="inlineStr">
        <is>
          <t>M4 图片生成闭环</t>
        </is>
      </c>
      <c r="B5" s="39" t="n">
        <v>46172</v>
      </c>
      <c r="C5" s="15" t="inlineStr">
        <is>
          <t>当前批次并行生成帧图，支持模型切换和 fallback</t>
        </is>
      </c>
      <c r="D5" s="15" t="inlineStr">
        <is>
          <t>P1-008~P1-019</t>
        </is>
      </c>
      <c r="E5" s="15" t="inlineStr">
        <is>
          <t>已完成</t>
        </is>
      </c>
    </row>
    <row r="6">
      <c r="A6" s="15" t="inlineStr">
        <is>
          <t>M5 审核与视频闭环</t>
        </is>
      </c>
      <c r="B6" s="39" t="n">
        <v>46179</v>
      </c>
      <c r="C6" s="15" t="inlineStr">
        <is>
          <t>审核通过后 Seedance 2.0 生成视频并回填</t>
        </is>
      </c>
      <c r="D6" s="15" t="inlineStr">
        <is>
          <t>P1-020~P1-032</t>
        </is>
      </c>
      <c r="E6" s="15" t="inlineStr">
        <is>
          <t>已完成</t>
        </is>
      </c>
    </row>
    <row r="7">
      <c r="A7" s="15" t="inlineStr">
        <is>
          <t>M6 归档闭环上线</t>
        </is>
      </c>
      <c r="B7" s="39" t="n">
        <v>46182</v>
      </c>
      <c r="C7" s="15" t="inlineStr">
        <is>
          <t>满意度归档、链接回填、核心测试通过</t>
        </is>
      </c>
      <c r="D7" s="15" t="inlineStr">
        <is>
          <t>P1-033~QA-005</t>
        </is>
      </c>
      <c r="E7" s="15" t="inlineStr">
        <is>
          <t>已完成</t>
        </is>
      </c>
    </row>
    <row r="8">
      <c r="A8" s="15" t="inlineStr">
        <is>
          <t>M7 P2 增强</t>
        </is>
      </c>
      <c r="B8" s="39" t="n">
        <v>46194</v>
      </c>
      <c r="C8" s="15" t="inlineStr">
        <is>
          <t>对齐、成本、监控、恢复工具、文档</t>
        </is>
      </c>
      <c r="D8" s="15" t="inlineStr">
        <is>
          <t>P2-001~P2-014</t>
        </is>
      </c>
      <c r="E8" s="15" t="inlineStr">
        <is>
          <t>已完成</t>
        </is>
      </c>
    </row>
  </sheetData>
  <dataValidations count="1">
    <dataValidation sqref="E2:E8" showDropDown="0" showInputMessage="0" showErrorMessage="0" allowBlank="0" type="list">
      <formula1>"未开始,进行中,阻塞,已完成"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10" customWidth="1" min="4" max="4"/>
    <col width="10" customWidth="1" min="5" max="5"/>
    <col width="46" customWidth="1" min="6" max="6"/>
    <col width="16" customWidth="1" min="7" max="7"/>
    <col width="12" customWidth="1" min="8" max="8"/>
  </cols>
  <sheetData>
    <row r="1">
      <c r="A1" s="6" t="inlineStr">
        <is>
          <t>ID</t>
        </is>
      </c>
      <c r="B1" s="6" t="inlineStr">
        <is>
          <t>风险</t>
        </is>
      </c>
      <c r="C1" s="6" t="inlineStr">
        <is>
          <t>影响</t>
        </is>
      </c>
      <c r="D1" s="6" t="inlineStr">
        <is>
          <t>概率</t>
        </is>
      </c>
      <c r="E1" s="6" t="inlineStr">
        <is>
          <t>等级</t>
        </is>
      </c>
      <c r="F1" s="6" t="inlineStr">
        <is>
          <t>应对策略</t>
        </is>
      </c>
      <c r="G1" s="6" t="inlineStr">
        <is>
          <t>Owner</t>
        </is>
      </c>
      <c r="H1" s="6" t="inlineStr">
        <is>
          <t>状态</t>
        </is>
      </c>
    </row>
    <row r="2">
      <c r="A2" s="15" t="inlineStr">
        <is>
          <t>R-001</t>
        </is>
      </c>
      <c r="B2" s="15" t="inlineStr">
        <is>
          <t>飞书回调超时</t>
        </is>
      </c>
      <c r="C2" s="15" t="inlineStr">
        <is>
          <t>卡片按钮体验差，用户重复点击</t>
        </is>
      </c>
      <c r="D2" s="15" t="inlineStr">
        <is>
          <t>中</t>
        </is>
      </c>
      <c r="E2" s="15" t="inlineStr">
        <is>
          <t>高</t>
        </is>
      </c>
      <c r="F2" s="15" t="inlineStr">
        <is>
          <t>回调只创建任务并快速返回；长任务全部异步化。</t>
        </is>
      </c>
      <c r="G2" s="15" t="inlineStr">
        <is>
          <t>后端</t>
        </is>
      </c>
      <c r="H2" s="15" t="inlineStr">
        <is>
          <t>已关闭</t>
        </is>
      </c>
    </row>
    <row r="3">
      <c r="A3" s="15" t="inlineStr">
        <is>
          <t>R-002</t>
        </is>
      </c>
      <c r="B3" s="15" t="inlineStr">
        <is>
          <t>模型 API 限流</t>
        </is>
      </c>
      <c r="C3" s="15" t="inlineStr">
        <is>
          <t>生成任务堆积或失败</t>
        </is>
      </c>
      <c r="D3" s="15" t="inlineStr">
        <is>
          <t>高</t>
        </is>
      </c>
      <c r="E3" s="15" t="inlineStr">
        <is>
          <t>高</t>
        </is>
      </c>
      <c r="F3" s="15" t="inlineStr">
        <is>
          <t>Provider 级限流、重试、队列隔离、fallback。</t>
        </is>
      </c>
      <c r="G3" s="15" t="inlineStr">
        <is>
          <t>AI 工程</t>
        </is>
      </c>
      <c r="H3" s="15" t="inlineStr">
        <is>
          <t>已关闭</t>
        </is>
      </c>
    </row>
    <row r="4">
      <c r="A4" s="15" t="inlineStr">
        <is>
          <t>R-003</t>
        </is>
      </c>
      <c r="B4" s="15" t="inlineStr">
        <is>
          <t>Prompt 版本冲突</t>
        </is>
      </c>
      <c r="C4" s="15" t="inlineStr">
        <is>
          <t>旧结果覆盖新 Prompt</t>
        </is>
      </c>
      <c r="D4" s="15" t="inlineStr">
        <is>
          <t>中</t>
        </is>
      </c>
      <c r="E4" s="15" t="inlineStr">
        <is>
          <t>高</t>
        </is>
      </c>
      <c r="F4" s="15" t="inlineStr">
        <is>
          <t>prompt_version 和 prompt_hash 双校验。</t>
        </is>
      </c>
      <c r="G4" s="15" t="inlineStr">
        <is>
          <t>后端</t>
        </is>
      </c>
      <c r="H4" s="15" t="inlineStr">
        <is>
          <t>已关闭</t>
        </is>
      </c>
    </row>
    <row r="5">
      <c r="A5" s="15" t="inlineStr">
        <is>
          <t>R-004</t>
        </is>
      </c>
      <c r="B5" s="15" t="inlineStr">
        <is>
          <t>大视频上传飞书失败</t>
        </is>
      </c>
      <c r="C5" s="15" t="inlineStr">
        <is>
          <t>视频无法回填或归档</t>
        </is>
      </c>
      <c r="D5" s="15" t="inlineStr">
        <is>
          <t>中</t>
        </is>
      </c>
      <c r="E5" s="15" t="inlineStr">
        <is>
          <t>中</t>
        </is>
      </c>
      <c r="F5" s="15" t="inlineStr">
        <is>
          <t>对象存储为主，飞书只回填链接；必要时分片上传。</t>
        </is>
      </c>
      <c r="G5" s="15" t="inlineStr">
        <is>
          <t>后端</t>
        </is>
      </c>
      <c r="H5" s="15" t="inlineStr">
        <is>
          <t>已关闭</t>
        </is>
      </c>
    </row>
    <row r="6">
      <c r="A6" s="15" t="inlineStr">
        <is>
          <t>R-005</t>
        </is>
      </c>
      <c r="B6" s="15" t="inlineStr">
        <is>
          <t>用户误触发重复生成</t>
        </is>
      </c>
      <c r="C6" s="15" t="inlineStr">
        <is>
          <t>重复扣费</t>
        </is>
      </c>
      <c r="D6" s="15" t="inlineStr">
        <is>
          <t>高</t>
        </is>
      </c>
      <c r="E6" s="15" t="inlineStr">
        <is>
          <t>高</t>
        </is>
      </c>
      <c r="F6" s="15" t="inlineStr">
        <is>
          <t>所有生成任务建立幂等键；按钮置灰和提示。</t>
        </is>
      </c>
      <c r="G6" s="15" t="inlineStr">
        <is>
          <t>后端/前端</t>
        </is>
      </c>
      <c r="H6" s="15" t="inlineStr">
        <is>
          <t>已关闭</t>
        </is>
      </c>
    </row>
    <row r="7">
      <c r="A7" s="15" t="inlineStr">
        <is>
          <t>R-006</t>
        </is>
      </c>
      <c r="B7" s="15" t="inlineStr">
        <is>
          <t>图片模型输出风格不一致</t>
        </is>
      </c>
      <c r="C7" s="15" t="inlineStr">
        <is>
          <t>视频连续性差</t>
        </is>
      </c>
      <c r="D7" s="15" t="inlineStr">
        <is>
          <t>中</t>
        </is>
      </c>
      <c r="E7" s="15" t="inlineStr">
        <is>
          <t>中</t>
        </is>
      </c>
      <c r="F7" s="15" t="inlineStr">
        <is>
          <t>统一风格 Prompt、参考图、可选前后帧对齐。</t>
        </is>
      </c>
      <c r="G7" s="15" t="inlineStr">
        <is>
          <t>AI 工程</t>
        </is>
      </c>
      <c r="H7" s="15" t="inlineStr">
        <is>
          <t>已关闭</t>
        </is>
      </c>
    </row>
    <row r="8">
      <c r="A8" s="15" t="inlineStr">
        <is>
          <t>R-007</t>
        </is>
      </c>
      <c r="B8" s="15" t="inlineStr">
        <is>
          <t>飞书字段名被人工修改</t>
        </is>
      </c>
      <c r="C8" s="15" t="inlineStr">
        <is>
          <t>回填失败</t>
        </is>
      </c>
      <c r="D8" s="15" t="inlineStr">
        <is>
          <t>中</t>
        </is>
      </c>
      <c r="E8" s="15" t="inlineStr">
        <is>
          <t>中</t>
        </is>
      </c>
      <c r="F8" s="15" t="inlineStr">
        <is>
          <t>字段 ID 缓存 + 元数据刷新 + 管理员提醒。</t>
        </is>
      </c>
      <c r="G8" s="15" t="inlineStr">
        <is>
          <t>飞书集成</t>
        </is>
      </c>
      <c r="H8" s="15" t="inlineStr">
        <is>
          <t>已关闭</t>
        </is>
      </c>
    </row>
    <row r="9">
      <c r="A9" s="15" t="inlineStr">
        <is>
          <t>R-008</t>
        </is>
      </c>
      <c r="B9" s="15" t="inlineStr">
        <is>
          <t>模型内容拒绝</t>
        </is>
      </c>
      <c r="C9" s="15" t="inlineStr">
        <is>
          <t>任务无法自动生成</t>
        </is>
      </c>
      <c r="D9" s="15" t="inlineStr">
        <is>
          <t>低</t>
        </is>
      </c>
      <c r="E9" s="15" t="inlineStr">
        <is>
          <t>中</t>
        </is>
      </c>
      <c r="F9" s="15" t="inlineStr">
        <is>
          <t>回填可读原因，提示修改 Prompt。</t>
        </is>
      </c>
      <c r="G9" s="15" t="inlineStr">
        <is>
          <t>产品/AI 工程</t>
        </is>
      </c>
      <c r="H9" s="15" t="inlineStr">
        <is>
          <t>已关闭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0" customWidth="1" min="3" max="3"/>
    <col width="36" customWidth="1" min="4" max="4"/>
    <col width="10" customWidth="1" min="5" max="5"/>
    <col width="12" customWidth="1" min="6" max="6"/>
  </cols>
  <sheetData>
    <row r="1">
      <c r="A1" s="6" t="inlineStr">
        <is>
          <t>模块</t>
        </is>
      </c>
      <c r="B1" s="6" t="inlineStr">
        <is>
          <t>接口/事件</t>
        </is>
      </c>
      <c r="C1" s="6" t="inlineStr">
        <is>
          <t>方法</t>
        </is>
      </c>
      <c r="D1" s="6" t="inlineStr">
        <is>
          <t>说明</t>
        </is>
      </c>
      <c r="E1" s="6" t="inlineStr">
        <is>
          <t>优先级</t>
        </is>
      </c>
      <c r="F1" s="6" t="inlineStr">
        <is>
          <t>状态</t>
        </is>
      </c>
    </row>
    <row r="2">
      <c r="A2" s="15" t="inlineStr">
        <is>
          <t>飞书回调</t>
        </is>
      </c>
      <c r="B2" s="15" t="inlineStr">
        <is>
          <t>/webhooks/feishu/events</t>
        </is>
      </c>
      <c r="C2" s="15" t="inlineStr">
        <is>
          <t>POST</t>
        </is>
      </c>
      <c r="D2" s="15" t="inlineStr">
        <is>
          <t>接收事件订阅</t>
        </is>
      </c>
      <c r="E2" s="15" t="inlineStr">
        <is>
          <t>P0</t>
        </is>
      </c>
      <c r="F2" s="15" t="inlineStr">
        <is>
          <t>已完成</t>
        </is>
      </c>
    </row>
    <row r="3">
      <c r="A3" s="15" t="inlineStr">
        <is>
          <t>飞书回调</t>
        </is>
      </c>
      <c r="B3" s="15" t="inlineStr">
        <is>
          <t>/webhooks/feishu/card-actions</t>
        </is>
      </c>
      <c r="C3" s="15" t="inlineStr">
        <is>
          <t>POST</t>
        </is>
      </c>
      <c r="D3" s="15" t="inlineStr">
        <is>
          <t>卡片按钮回调</t>
        </is>
      </c>
      <c r="E3" s="15" t="inlineStr">
        <is>
          <t>P0</t>
        </is>
      </c>
      <c r="F3" s="15" t="inlineStr">
        <is>
          <t>已完成</t>
        </is>
      </c>
    </row>
    <row r="4">
      <c r="A4" s="15" t="inlineStr">
        <is>
          <t>项目</t>
        </is>
      </c>
      <c r="B4" s="15" t="inlineStr">
        <is>
          <t>/api/projects</t>
        </is>
      </c>
      <c r="C4" s="15" t="inlineStr">
        <is>
          <t>POST</t>
        </is>
      </c>
      <c r="D4" s="15" t="inlineStr">
        <is>
          <t>创建项目</t>
        </is>
      </c>
      <c r="E4" s="15" t="inlineStr">
        <is>
          <t>P0</t>
        </is>
      </c>
      <c r="F4" s="15" t="inlineStr">
        <is>
          <t>已完成</t>
        </is>
      </c>
    </row>
    <row r="5">
      <c r="A5" s="15" t="inlineStr">
        <is>
          <t>项目</t>
        </is>
      </c>
      <c r="B5" s="15" t="inlineStr">
        <is>
          <t>/api/projects/{id}/sync</t>
        </is>
      </c>
      <c r="C5" s="15" t="inlineStr">
        <is>
          <t>POST</t>
        </is>
      </c>
      <c r="D5" s="15" t="inlineStr">
        <is>
          <t>同步表格</t>
        </is>
      </c>
      <c r="E5" s="15" t="inlineStr">
        <is>
          <t>P0</t>
        </is>
      </c>
      <c r="F5" s="15" t="inlineStr">
        <is>
          <t>已完成</t>
        </is>
      </c>
    </row>
    <row r="6">
      <c r="A6" s="15" t="inlineStr">
        <is>
          <t>项目</t>
        </is>
      </c>
      <c r="B6" s="15" t="inlineStr">
        <is>
          <t>/api/projects/{id}/generate-current-batch</t>
        </is>
      </c>
      <c r="C6" s="15" t="inlineStr">
        <is>
          <t>POST</t>
        </is>
      </c>
      <c r="D6" s="15" t="inlineStr">
        <is>
          <t>生成当前批次帧</t>
        </is>
      </c>
      <c r="E6" s="15" t="inlineStr">
        <is>
          <t>P1</t>
        </is>
      </c>
      <c r="F6" s="15" t="inlineStr">
        <is>
          <t>已完成</t>
        </is>
      </c>
    </row>
    <row r="7">
      <c r="A7" s="15" t="inlineStr">
        <is>
          <t>镜头</t>
        </is>
      </c>
      <c r="B7" s="15" t="inlineStr">
        <is>
          <t>/api/shots/{id}/optimize-prompt</t>
        </is>
      </c>
      <c r="C7" s="15" t="inlineStr">
        <is>
          <t>POST</t>
        </is>
      </c>
      <c r="D7" s="15" t="inlineStr">
        <is>
          <t>单镜头 Prompt 优化</t>
        </is>
      </c>
      <c r="E7" s="15" t="inlineStr">
        <is>
          <t>P1</t>
        </is>
      </c>
      <c r="F7" s="15" t="inlineStr">
        <is>
          <t>已完成</t>
        </is>
      </c>
    </row>
    <row r="8">
      <c r="A8" s="15" t="inlineStr">
        <is>
          <t>镜头</t>
        </is>
      </c>
      <c r="B8" s="15" t="inlineStr">
        <is>
          <t>/api/shots/{id}/generate-frames</t>
        </is>
      </c>
      <c r="C8" s="15" t="inlineStr">
        <is>
          <t>POST</t>
        </is>
      </c>
      <c r="D8" s="15" t="inlineStr">
        <is>
          <t>单镜头出图</t>
        </is>
      </c>
      <c r="E8" s="15" t="inlineStr">
        <is>
          <t>P1</t>
        </is>
      </c>
      <c r="F8" s="15" t="inlineStr">
        <is>
          <t>已完成</t>
        </is>
      </c>
    </row>
    <row r="9">
      <c r="A9" s="15" t="inlineStr">
        <is>
          <t>镜头</t>
        </is>
      </c>
      <c r="B9" s="15" t="inlineStr">
        <is>
          <t>/api/shots/{id}/generate-video</t>
        </is>
      </c>
      <c r="C9" s="15" t="inlineStr">
        <is>
          <t>POST</t>
        </is>
      </c>
      <c r="D9" s="15" t="inlineStr">
        <is>
          <t>单镜头视频生成</t>
        </is>
      </c>
      <c r="E9" s="15" t="inlineStr">
        <is>
          <t>P1</t>
        </is>
      </c>
      <c r="F9" s="15" t="inlineStr">
        <is>
          <t>已完成</t>
        </is>
      </c>
    </row>
    <row r="10">
      <c r="A10" s="15" t="inlineStr">
        <is>
          <t>镜头</t>
        </is>
      </c>
      <c r="B10" s="15" t="inlineStr">
        <is>
          <t>/api/shots/{id}/archive</t>
        </is>
      </c>
      <c r="C10" s="15" t="inlineStr">
        <is>
          <t>POST</t>
        </is>
      </c>
      <c r="D10" s="15" t="inlineStr">
        <is>
          <t>满意度归档</t>
        </is>
      </c>
      <c r="E10" s="15" t="inlineStr">
        <is>
          <t>P1</t>
        </is>
      </c>
      <c r="F10" s="15" t="inlineStr">
        <is>
          <t>已完成</t>
        </is>
      </c>
    </row>
    <row r="11">
      <c r="A11" s="15" t="inlineStr">
        <is>
          <t>任务</t>
        </is>
      </c>
      <c r="B11" s="15" t="inlineStr">
        <is>
          <t>/api/jobs/{id}</t>
        </is>
      </c>
      <c r="C11" s="15" t="inlineStr">
        <is>
          <t>GET</t>
        </is>
      </c>
      <c r="D11" s="15" t="inlineStr">
        <is>
          <t>查询任务状态</t>
        </is>
      </c>
      <c r="E11" s="15" t="inlineStr">
        <is>
          <t>P1</t>
        </is>
      </c>
      <c r="F11" s="15" t="inlineStr">
        <is>
          <t>已完成</t>
        </is>
      </c>
    </row>
    <row r="12">
      <c r="A12" s="15" t="inlineStr">
        <is>
          <t>任务</t>
        </is>
      </c>
      <c r="B12" s="15" t="inlineStr">
        <is>
          <t>/api/jobs/{id}/retry</t>
        </is>
      </c>
      <c r="C12" s="15" t="inlineStr">
        <is>
          <t>POST</t>
        </is>
      </c>
      <c r="D12" s="15" t="inlineStr">
        <is>
          <t>任务重试</t>
        </is>
      </c>
      <c r="E12" s="15" t="inlineStr">
        <is>
          <t>P1</t>
        </is>
      </c>
      <c r="F12" s="15" t="inlineStr">
        <is>
          <t>已完成</t>
        </is>
      </c>
    </row>
    <row r="13">
      <c r="A13" s="15" t="inlineStr">
        <is>
          <t>Provider</t>
        </is>
      </c>
      <c r="B13" s="15" t="inlineStr">
        <is>
          <t>/webhooks/providers/seedance</t>
        </is>
      </c>
      <c r="C13" s="15" t="inlineStr">
        <is>
          <t>POST</t>
        </is>
      </c>
      <c r="D13" s="15" t="inlineStr">
        <is>
          <t>Seedance 回调，可选</t>
        </is>
      </c>
      <c r="E13" s="15" t="inlineStr">
        <is>
          <t>P1</t>
        </is>
      </c>
      <c r="F13" s="15" t="inlineStr">
        <is>
          <t>已完成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30" customWidth="1" min="5" max="5"/>
    <col width="30" customWidth="1" min="6" max="6"/>
  </cols>
  <sheetData>
    <row r="1">
      <c r="A1" s="6" t="inlineStr">
        <is>
          <t>字段</t>
        </is>
      </c>
      <c r="B1" s="6" t="inlineStr">
        <is>
          <t>类型</t>
        </is>
      </c>
      <c r="C1" s="6" t="inlineStr">
        <is>
          <t>填写方</t>
        </is>
      </c>
      <c r="D1" s="6" t="inlineStr">
        <is>
          <t>是否必填</t>
        </is>
      </c>
      <c r="E1" s="6" t="inlineStr">
        <is>
          <t>用途</t>
        </is>
      </c>
      <c r="F1" s="6" t="inlineStr">
        <is>
          <t>状态/备注</t>
        </is>
      </c>
    </row>
    <row r="2">
      <c r="A2" s="15" t="inlineStr">
        <is>
          <t>镜号</t>
        </is>
      </c>
      <c r="B2" s="15" t="inlineStr">
        <is>
          <t>文本/数字</t>
        </is>
      </c>
      <c r="C2" s="15" t="inlineStr">
        <is>
          <t>自动/人</t>
        </is>
      </c>
      <c r="D2" s="15" t="inlineStr">
        <is>
          <t>是</t>
        </is>
      </c>
      <c r="E2" s="15" t="inlineStr">
        <is>
          <t>排序和文件命名</t>
        </is>
      </c>
      <c r="F2" s="15" t="inlineStr">
        <is>
          <t>固定列????；已实现</t>
        </is>
      </c>
    </row>
    <row r="3">
      <c r="A3" s="15" t="inlineStr">
        <is>
          <t>场景描述</t>
        </is>
      </c>
      <c r="B3" s="15" t="inlineStr">
        <is>
          <t>长文本</t>
        </is>
      </c>
      <c r="C3" s="15" t="inlineStr">
        <is>
          <t>人</t>
        </is>
      </c>
      <c r="D3" s="15" t="inlineStr">
        <is>
          <t>是</t>
        </is>
      </c>
      <c r="E3" s="15" t="inlineStr">
        <is>
          <t>粗略描述</t>
        </is>
      </c>
      <c r="F3" s="15" t="inlineStr">
        <is>
          <t>已实现</t>
        </is>
      </c>
    </row>
    <row r="4">
      <c r="A4" s="15" t="inlineStr">
        <is>
          <t>参考图</t>
        </is>
      </c>
      <c r="B4" s="15" t="inlineStr">
        <is>
          <t>附件</t>
        </is>
      </c>
      <c r="C4" s="15" t="inlineStr">
        <is>
          <t>人</t>
        </is>
      </c>
      <c r="D4" s="15" t="inlineStr">
        <is>
          <t>否</t>
        </is>
      </c>
      <c r="E4" s="15" t="inlineStr">
        <is>
          <t>视觉方向参考</t>
        </is>
      </c>
      <c r="F4" s="15" t="inlineStr">
        <is>
          <t>可多张????；已实现</t>
        </is>
      </c>
    </row>
    <row r="5">
      <c r="A5" s="15" t="inlineStr">
        <is>
          <t>关键帧提示词</t>
        </is>
      </c>
      <c r="B5" s="15" t="inlineStr">
        <is>
          <t>长文本</t>
        </is>
      </c>
      <c r="C5" s="15" t="inlineStr">
        <is>
          <t>人/AI</t>
        </is>
      </c>
      <c r="D5" s="15" t="inlineStr">
        <is>
          <t>否</t>
        </is>
      </c>
      <c r="E5" s="15" t="inlineStr">
        <is>
          <t>核心画面</t>
        </is>
      </c>
      <c r="F5" s="15" t="inlineStr">
        <is>
          <t>可 AI 优化????；已实现</t>
        </is>
      </c>
    </row>
    <row r="6">
      <c r="A6" s="15" t="inlineStr">
        <is>
          <t>首帧提示词</t>
        </is>
      </c>
      <c r="B6" s="15" t="inlineStr">
        <is>
          <t>长文本</t>
        </is>
      </c>
      <c r="C6" s="15" t="inlineStr">
        <is>
          <t>人/AI</t>
        </is>
      </c>
      <c r="D6" s="15" t="inlineStr">
        <is>
          <t>否</t>
        </is>
      </c>
      <c r="E6" s="15" t="inlineStr">
        <is>
          <t>镜头起始</t>
        </is>
      </c>
      <c r="F6" s="15" t="inlineStr">
        <is>
          <t>可 AI 优化????；已实现</t>
        </is>
      </c>
    </row>
    <row r="7">
      <c r="A7" s="15" t="inlineStr">
        <is>
          <t>尾帧提示词</t>
        </is>
      </c>
      <c r="B7" s="15" t="inlineStr">
        <is>
          <t>长文本</t>
        </is>
      </c>
      <c r="C7" s="15" t="inlineStr">
        <is>
          <t>人/AI</t>
        </is>
      </c>
      <c r="D7" s="15" t="inlineStr">
        <is>
          <t>否</t>
        </is>
      </c>
      <c r="E7" s="15" t="inlineStr">
        <is>
          <t>镜头结束</t>
        </is>
      </c>
      <c r="F7" s="15" t="inlineStr">
        <is>
          <t>可 AI 优化????；已实现</t>
        </is>
      </c>
    </row>
    <row r="8">
      <c r="A8" s="15" t="inlineStr">
        <is>
          <t>视频 Prompt</t>
        </is>
      </c>
      <c r="B8" s="15" t="inlineStr">
        <is>
          <t>长文本</t>
        </is>
      </c>
      <c r="C8" s="15" t="inlineStr">
        <is>
          <t>AI/人</t>
        </is>
      </c>
      <c r="D8" s="15" t="inlineStr">
        <is>
          <t>否</t>
        </is>
      </c>
      <c r="E8" s="15" t="inlineStr">
        <is>
          <t>送视频模型</t>
        </is>
      </c>
      <c r="F8" s="15" t="inlineStr">
        <is>
          <t>通过前必填????；已实现</t>
        </is>
      </c>
    </row>
    <row r="9">
      <c r="A9" s="15" t="inlineStr">
        <is>
          <t>负面 Prompt</t>
        </is>
      </c>
      <c r="B9" s="15" t="inlineStr">
        <is>
          <t>长文本</t>
        </is>
      </c>
      <c r="C9" s="15" t="inlineStr">
        <is>
          <t>AI</t>
        </is>
      </c>
      <c r="D9" s="15" t="inlineStr">
        <is>
          <t>否</t>
        </is>
      </c>
      <c r="E9" s="15" t="inlineStr">
        <is>
          <t>避免闪烁/变形</t>
        </is>
      </c>
      <c r="F9" s="15" t="inlineStr">
        <is>
          <t>已实现</t>
        </is>
      </c>
    </row>
    <row r="10">
      <c r="A10" s="15" t="inlineStr">
        <is>
          <t>生成批次</t>
        </is>
      </c>
      <c r="B10" s="15" t="inlineStr">
        <is>
          <t>文本/单选</t>
        </is>
      </c>
      <c r="C10" s="15" t="inlineStr">
        <is>
          <t>人</t>
        </is>
      </c>
      <c r="D10" s="15" t="inlineStr">
        <is>
          <t>是</t>
        </is>
      </c>
      <c r="E10" s="15" t="inlineStr">
        <is>
          <t>批量操作筛选</t>
        </is>
      </c>
      <c r="F10" s="15" t="inlineStr">
        <is>
          <t>例如 batch_001????；已实现</t>
        </is>
      </c>
    </row>
    <row r="11">
      <c r="A11" s="15" t="inlineStr">
        <is>
          <t>图片模型</t>
        </is>
      </c>
      <c r="B11" s="15" t="inlineStr">
        <is>
          <t>单选</t>
        </is>
      </c>
      <c r="C11" s="15" t="inlineStr">
        <is>
          <t>人/默认</t>
        </is>
      </c>
      <c r="D11" s="15" t="inlineStr">
        <is>
          <t>否</t>
        </is>
      </c>
      <c r="E11" s="15" t="inlineStr">
        <is>
          <t>模型切换</t>
        </is>
      </c>
      <c r="F11" s="15" t="inlineStr">
        <is>
          <t>nano_banana_2 / gpt_image_2????；已实现</t>
        </is>
      </c>
    </row>
    <row r="12">
      <c r="A12" s="15" t="inlineStr">
        <is>
          <t>关键帧图</t>
        </is>
      </c>
      <c r="B12" s="15" t="inlineStr">
        <is>
          <t>多附件/链接</t>
        </is>
      </c>
      <c r="C12" s="15" t="inlineStr">
        <is>
          <t>AI</t>
        </is>
      </c>
      <c r="D12" s="15" t="inlineStr">
        <is>
          <t>否</t>
        </is>
      </c>
      <c r="E12" s="15" t="inlineStr">
        <is>
          <t>AI 生成候选</t>
        </is>
      </c>
      <c r="F12" s="15" t="inlineStr">
        <is>
          <t>已实现</t>
        </is>
      </c>
    </row>
    <row r="13">
      <c r="A13" s="15" t="inlineStr">
        <is>
          <t>选中关键帧图</t>
        </is>
      </c>
      <c r="B13" s="15" t="inlineStr">
        <is>
          <t>附件/链接</t>
        </is>
      </c>
      <c r="C13" s="15" t="inlineStr">
        <is>
          <t>人/AI</t>
        </is>
      </c>
      <c r="D13" s="15" t="inlineStr">
        <is>
          <t>否</t>
        </is>
      </c>
      <c r="E13" s="15" t="inlineStr">
        <is>
          <t>视频输入</t>
        </is>
      </c>
      <c r="F13" s="15" t="inlineStr">
        <is>
          <t>已实现</t>
        </is>
      </c>
    </row>
    <row r="14">
      <c r="A14" s="15" t="inlineStr">
        <is>
          <t>首帧图</t>
        </is>
      </c>
      <c r="B14" s="15" t="inlineStr">
        <is>
          <t>附件/链接</t>
        </is>
      </c>
      <c r="C14" s="15" t="inlineStr">
        <is>
          <t>AI</t>
        </is>
      </c>
      <c r="D14" s="15" t="inlineStr">
        <is>
          <t>否</t>
        </is>
      </c>
      <c r="E14" s="15" t="inlineStr">
        <is>
          <t>视频输入</t>
        </is>
      </c>
      <c r="F14" s="15" t="inlineStr">
        <is>
          <t>通过前必填????；已实现</t>
        </is>
      </c>
    </row>
    <row r="15">
      <c r="A15" s="15" t="inlineStr">
        <is>
          <t>尾帧图</t>
        </is>
      </c>
      <c r="B15" s="15" t="inlineStr">
        <is>
          <t>附件/链接</t>
        </is>
      </c>
      <c r="C15" s="15" t="inlineStr">
        <is>
          <t>AI</t>
        </is>
      </c>
      <c r="D15" s="15" t="inlineStr">
        <is>
          <t>否</t>
        </is>
      </c>
      <c r="E15" s="15" t="inlineStr">
        <is>
          <t>视频输入</t>
        </is>
      </c>
      <c r="F15" s="15" t="inlineStr">
        <is>
          <t>通过前必填????；已实现</t>
        </is>
      </c>
    </row>
    <row r="16">
      <c r="A16" s="15" t="inlineStr">
        <is>
          <t>审核状态</t>
        </is>
      </c>
      <c r="B16" s="15" t="inlineStr">
        <is>
          <t>单选</t>
        </is>
      </c>
      <c r="C16" s="15" t="inlineStr">
        <is>
          <t>人/AI</t>
        </is>
      </c>
      <c r="D16" s="15" t="inlineStr">
        <is>
          <t>是</t>
        </is>
      </c>
      <c r="E16" s="15" t="inlineStr">
        <is>
          <t>驱动状态机</t>
        </is>
      </c>
      <c r="F16" s="15" t="inlineStr">
        <is>
          <t>枚举固定????；已实现</t>
        </is>
      </c>
    </row>
    <row r="17">
      <c r="A17" s="15" t="inlineStr">
        <is>
          <t>驳回原因</t>
        </is>
      </c>
      <c r="B17" s="15" t="inlineStr">
        <is>
          <t>长文本</t>
        </is>
      </c>
      <c r="C17" s="15" t="inlineStr">
        <is>
          <t>人</t>
        </is>
      </c>
      <c r="D17" s="15" t="inlineStr">
        <is>
          <t>否</t>
        </is>
      </c>
      <c r="E17" s="15" t="inlineStr">
        <is>
          <t>重生成参考</t>
        </is>
      </c>
      <c r="F17" s="15" t="inlineStr">
        <is>
          <t>驳回必填????；已实现</t>
        </is>
      </c>
    </row>
    <row r="18">
      <c r="A18" s="15" t="inlineStr">
        <is>
          <t>视频链接</t>
        </is>
      </c>
      <c r="B18" s="15" t="inlineStr">
        <is>
          <t>链接/附件</t>
        </is>
      </c>
      <c r="C18" s="15" t="inlineStr">
        <is>
          <t>AI</t>
        </is>
      </c>
      <c r="D18" s="15" t="inlineStr">
        <is>
          <t>否</t>
        </is>
      </c>
      <c r="E18" s="15" t="inlineStr">
        <is>
          <t>视频结果</t>
        </is>
      </c>
      <c r="F18" s="15" t="inlineStr">
        <is>
          <t>已实现</t>
        </is>
      </c>
    </row>
    <row r="19">
      <c r="A19" s="15" t="inlineStr">
        <is>
          <t>满意度</t>
        </is>
      </c>
      <c r="B19" s="15" t="inlineStr">
        <is>
          <t>单选</t>
        </is>
      </c>
      <c r="C19" s="15" t="inlineStr">
        <is>
          <t>人</t>
        </is>
      </c>
      <c r="D19" s="15" t="inlineStr">
        <is>
          <t>否</t>
        </is>
      </c>
      <c r="E19" s="15" t="inlineStr">
        <is>
          <t>归档依据</t>
        </is>
      </c>
      <c r="F19" s="15" t="inlineStr">
        <is>
          <t>满意/不满意????；已实现</t>
        </is>
      </c>
    </row>
    <row r="20">
      <c r="A20" s="15" t="inlineStr">
        <is>
          <t>归档链接</t>
        </is>
      </c>
      <c r="B20" s="15" t="inlineStr">
        <is>
          <t>链接</t>
        </is>
      </c>
      <c r="C20" s="15" t="inlineStr">
        <is>
          <t>AI</t>
        </is>
      </c>
      <c r="D20" s="15" t="inlineStr">
        <is>
          <t>否</t>
        </is>
      </c>
      <c r="E20" s="15" t="inlineStr">
        <is>
          <t>复用路径</t>
        </is>
      </c>
      <c r="F20" s="15" t="inlineStr">
        <is>
          <t>已实现</t>
        </is>
      </c>
    </row>
    <row r="21">
      <c r="A21" s="15" t="inlineStr">
        <is>
          <t>错误信息</t>
        </is>
      </c>
      <c r="B21" s="15" t="inlineStr">
        <is>
          <t>长文本</t>
        </is>
      </c>
      <c r="C21" s="15" t="inlineStr">
        <is>
          <t>AI</t>
        </is>
      </c>
      <c r="D21" s="15" t="inlineStr">
        <is>
          <t>否</t>
        </is>
      </c>
      <c r="E21" s="15" t="inlineStr">
        <is>
          <t>失败排错</t>
        </is>
      </c>
      <c r="F21" s="15" t="inlineStr">
        <is>
          <t>已实现</t>
        </is>
      </c>
    </row>
    <row r="22">
      <c r="A22" s="15" t="inlineStr">
        <is>
          <t>Prompt 版本</t>
        </is>
      </c>
      <c r="B22" s="15" t="inlineStr">
        <is>
          <t>数字</t>
        </is>
      </c>
      <c r="C22" s="15" t="inlineStr">
        <is>
          <t>AI</t>
        </is>
      </c>
      <c r="D22" s="15" t="inlineStr">
        <is>
          <t>是</t>
        </is>
      </c>
      <c r="E22" s="15" t="inlineStr">
        <is>
          <t>旧任务防覆盖</t>
        </is>
      </c>
      <c r="F22" s="15" t="inlineStr">
        <is>
          <t>系统维护????；已实现</t>
        </is>
      </c>
    </row>
    <row r="23">
      <c r="A23" s="15" t="inlineStr">
        <is>
          <t>任务 ID</t>
        </is>
      </c>
      <c r="B23" s="15" t="inlineStr">
        <is>
          <t>文本</t>
        </is>
      </c>
      <c r="C23" s="15" t="inlineStr">
        <is>
          <t>AI</t>
        </is>
      </c>
      <c r="D23" s="15" t="inlineStr">
        <is>
          <t>否</t>
        </is>
      </c>
      <c r="E23" s="15" t="inlineStr">
        <is>
          <t>任务追踪</t>
        </is>
      </c>
      <c r="F23" s="15" t="inlineStr">
        <is>
          <t>系统维护????；已实现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50" customWidth="1" min="3" max="3"/>
  </cols>
  <sheetData>
    <row r="1">
      <c r="A1" s="6" t="inlineStr">
        <is>
          <t>配置项</t>
        </is>
      </c>
      <c r="B1" s="6" t="inlineStr">
        <is>
          <t>默认值</t>
        </is>
      </c>
      <c r="C1" s="6" t="inlineStr">
        <is>
          <t>说明</t>
        </is>
      </c>
    </row>
    <row r="2">
      <c r="A2" s="15" t="inlineStr">
        <is>
          <t>text.model_id</t>
        </is>
      </c>
      <c r="B2" s="15" t="inlineStr">
        <is>
          <t>gpt-5.4</t>
        </is>
      </c>
      <c r="C2" s="15" t="inlineStr">
        <is>
          <t>Prompt 优化模型</t>
        </is>
      </c>
    </row>
    <row r="3">
      <c r="A3" s="15" t="inlineStr">
        <is>
          <t>image.default_provider</t>
        </is>
      </c>
      <c r="B3" s="15" t="inlineStr">
        <is>
          <t>nano_banana_2</t>
        </is>
      </c>
      <c r="C3" s="15" t="inlineStr">
        <is>
          <t>默认图片模型</t>
        </is>
      </c>
    </row>
    <row r="4">
      <c r="A4" s="15" t="inlineStr">
        <is>
          <t>image.nano_banana_2.model_id</t>
        </is>
      </c>
      <c r="B4" s="15" t="inlineStr">
        <is>
          <t>gemini-3.1-flash-image-preview</t>
        </is>
      </c>
      <c r="C4" s="15" t="inlineStr">
        <is>
          <t>Nano Banana 2 模型 ID</t>
        </is>
      </c>
    </row>
    <row r="5">
      <c r="A5" s="15" t="inlineStr">
        <is>
          <t>image.fallback_provider</t>
        </is>
      </c>
      <c r="B5" s="15" t="inlineStr">
        <is>
          <t>gpt_image_2</t>
        </is>
      </c>
      <c r="C5" s="15" t="inlineStr">
        <is>
          <t>图片备用模型</t>
        </is>
      </c>
    </row>
    <row r="6">
      <c r="A6" s="15" t="inlineStr">
        <is>
          <t>image.gpt_image_2.model_id</t>
        </is>
      </c>
      <c r="B6" s="15" t="inlineStr">
        <is>
          <t>gpt-image-2</t>
        </is>
      </c>
      <c r="C6" s="15" t="inlineStr">
        <is>
          <t>GPT Image 2 模型 ID</t>
        </is>
      </c>
    </row>
    <row r="7">
      <c r="A7" s="15" t="inlineStr">
        <is>
          <t>video.provider</t>
        </is>
      </c>
      <c r="B7" s="15" t="inlineStr">
        <is>
          <t>seedance_2_0</t>
        </is>
      </c>
      <c r="C7" s="15" t="inlineStr">
        <is>
          <t>视频模型 Provider</t>
        </is>
      </c>
    </row>
    <row r="8">
      <c r="A8" s="15" t="inlineStr">
        <is>
          <t>video.default_duration</t>
        </is>
      </c>
      <c r="B8" s="15" t="inlineStr">
        <is>
          <t>5</t>
        </is>
      </c>
      <c r="C8" s="15" t="inlineStr">
        <is>
          <t>默认视频秒数</t>
        </is>
      </c>
    </row>
    <row r="9">
      <c r="A9" s="15" t="inlineStr">
        <is>
          <t>video.resolution</t>
        </is>
      </c>
      <c r="B9" s="15" t="inlineStr">
        <is>
          <t>1080p</t>
        </is>
      </c>
      <c r="C9" s="15" t="inlineStr">
        <is>
          <t>默认分辨率</t>
        </is>
      </c>
    </row>
    <row r="10">
      <c r="A10" s="15" t="inlineStr">
        <is>
          <t>workflow.keyframe_variants</t>
        </is>
      </c>
      <c r="B10" s="15" t="inlineStr">
        <is>
          <t>3</t>
        </is>
      </c>
      <c r="C10" s="15" t="inlineStr">
        <is>
          <t>每镜头关键帧候选数量</t>
        </is>
      </c>
    </row>
    <row r="11">
      <c r="A11" s="15" t="inlineStr">
        <is>
          <t>workflow.max_parallel_image_jobs_per_project</t>
        </is>
      </c>
      <c r="B11" s="15" t="inlineStr">
        <is>
          <t>10</t>
        </is>
      </c>
      <c r="C11" s="15" t="inlineStr">
        <is>
          <t>单项目图片并发</t>
        </is>
      </c>
    </row>
    <row r="12">
      <c r="A12" s="15" t="inlineStr">
        <is>
          <t>workflow.max_parallel_video_jobs_per_project</t>
        </is>
      </c>
      <c r="B12" s="15" t="inlineStr">
        <is>
          <t>2</t>
        </is>
      </c>
      <c r="C12" s="15" t="inlineStr">
        <is>
          <t>单项目视频并发</t>
        </is>
      </c>
    </row>
    <row r="13">
      <c r="A13" s="15" t="inlineStr">
        <is>
          <t>workflow.enable_transition_alignment_default</t>
        </is>
      </c>
      <c r="B13" s="15" t="inlineStr">
        <is>
          <t>false</t>
        </is>
      </c>
      <c r="C13" s="15" t="inlineStr">
        <is>
          <t>前后帧对齐默认关闭</t>
        </is>
      </c>
    </row>
    <row r="14">
      <c r="A14" s="15" t="inlineStr">
        <is>
          <t>feishu.backfill_batch_size</t>
        </is>
      </c>
      <c r="B14" s="15" t="inlineStr">
        <is>
          <t>50</t>
        </is>
      </c>
      <c r="C14" s="15" t="inlineStr">
        <is>
          <t>飞书回填批大小</t>
        </is>
      </c>
    </row>
    <row r="15">
      <c r="A15" s="15" t="inlineStr">
        <is>
          <t>video.polling_interval_seconds</t>
        </is>
      </c>
      <c r="B15" s="15" t="inlineStr">
        <is>
          <t>10</t>
        </is>
      </c>
      <c r="C15" s="15" t="inlineStr">
        <is>
          <t>视频轮询间隔</t>
        </is>
      </c>
    </row>
    <row r="16">
      <c r="A16" s="15" t="inlineStr">
        <is>
          <t>video.max_polling_attempts</t>
        </is>
      </c>
      <c r="B16" s="15" t="inlineStr">
        <is>
          <t>180</t>
        </is>
      </c>
      <c r="C16" s="15" t="inlineStr">
        <is>
          <t>最大轮询次数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2026-05-06T17:43:31Z</dcterms:created>
  <dcterms:modified xmlns:dcterms="http://purl.org/dc/terms/" xmlns:xsi="http://www.w3.org/2001/XMLSchema-instance" xsi:type="dcterms:W3CDTF">2026-05-06T17:44:15Z</dcterms:modified>
</cp:coreProperties>
</file>